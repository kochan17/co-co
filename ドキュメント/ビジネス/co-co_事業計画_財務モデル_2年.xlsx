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使い方" sheetId="1" state="visible" r:id="rId1"/>
    <sheet xmlns:r="http://schemas.openxmlformats.org/officeDocument/2006/relationships" name="1_前提" sheetId="2" state="visible" r:id="rId2"/>
    <sheet xmlns:r="http://schemas.openxmlformats.org/officeDocument/2006/relationships" name="2_プラン設計" sheetId="3" state="visible" r:id="rId3"/>
    <sheet xmlns:r="http://schemas.openxmlformats.org/officeDocument/2006/relationships" name="4_売上計画" sheetId="4" state="visible" r:id="rId4"/>
    <sheet xmlns:r="http://schemas.openxmlformats.org/officeDocument/2006/relationships" name="5_原価・販管費" sheetId="5" state="visible" r:id="rId5"/>
    <sheet xmlns:r="http://schemas.openxmlformats.org/officeDocument/2006/relationships" name="6_P&amp;L" sheetId="6" state="visible" r:id="rId6"/>
    <sheet xmlns:r="http://schemas.openxmlformats.org/officeDocument/2006/relationships" name="7_Cash" sheetId="7" state="visible" r:id="rId7"/>
    <sheet xmlns:r="http://schemas.openxmlformats.org/officeDocument/2006/relationships" name="3_容量モデル" sheetId="8" state="visible" r:id="rId8"/>
    <sheet xmlns:r="http://schemas.openxmlformats.org/officeDocument/2006/relationships" name="8_KPI" sheetId="9" state="visible" r:id="rId9"/>
    <sheet xmlns:r="http://schemas.openxmlformats.org/officeDocument/2006/relationships" name="10_営業ファネル" sheetId="10" state="visible" r:id="rId10"/>
    <sheet xmlns:r="http://schemas.openxmlformats.org/officeDocument/2006/relationships" name="11_実行計画" sheetId="11" state="visible" r:id="rId11"/>
    <sheet xmlns:r="http://schemas.openxmlformats.org/officeDocument/2006/relationships" name="9_感度" sheetId="12" state="visible" r:id="rId12"/>
    <sheet xmlns:r="http://schemas.openxmlformats.org/officeDocument/2006/relationships" name="12_BS" sheetId="13" state="visible" r:id="rId13"/>
  </sheets>
  <definedNames>
    <definedName name="TeamStd_Price">'1_前提'!$B$8</definedName>
    <definedName name="TeamStd_Duration">'1_前提'!$B$9</definedName>
    <definedName name="Lightning_Price">'1_前提'!$B$11</definedName>
    <definedName name="Lightning_Duration">'1_前提'!$B$12</definedName>
    <definedName name="Training_Price">'1_前提'!$B$14</definedName>
    <definedName name="Training_Duration">'1_前提'!$B$15</definedName>
    <definedName name="Sat_Rate">'1_前提'!$B$22</definedName>
    <definedName name="Uni_Rate">'1_前提'!$B$23</definedName>
    <definedName name="Tim_Rate">'1_前提'!$B$24</definedName>
    <definedName name="Sat_Cap">'1_前提'!$B$25</definedName>
    <definedName name="Uni_Cap">'1_前提'!$B$26</definedName>
    <definedName name="Tim_Cap">'1_前提'!$B$27</definedName>
    <definedName name="DirectCost_PerDeal">'1_前提'!$B$28</definedName>
    <definedName name="Upfront_Pct">'1_前提'!$B$18</definedName>
    <definedName name="Collect_Months">'1_前提'!$B$19</definedName>
    <definedName name="Mkt_Fixed">'1_前提'!$B$30</definedName>
    <definedName name="Tools_Fixed">'1_前提'!$B$31</definedName>
    <definedName name="BackOffice_Fixed">'1_前提'!$B$32</definedName>
    <definedName name="Other_Fixed">'1_前提'!$B$33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(#,##0);&quot;-&quot;"/>
    <numFmt numFmtId="165" formatCode="¥#,##0;[Red](¥#,##0);&quot;-&quot;"/>
    <numFmt numFmtId="166" formatCode="0.0%"/>
    <numFmt numFmtId="167" formatCode="#,##0.0;[Red](#,##0.0);&quot;-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9"/>
      <sz val="11"/>
    </font>
    <font>
      <name val="Calibri"/>
      <color rgb="00000000"/>
      <sz val="11"/>
    </font>
    <font>
      <name val="Calibri"/>
      <b val="1"/>
      <color rgb="001F4E79"/>
      <sz val="14"/>
    </font>
    <font>
      <name val="Calibri"/>
      <color rgb="000000FF"/>
      <sz val="11"/>
    </font>
    <font>
      <name val="Calibri"/>
      <i val="1"/>
      <color rgb="00404040"/>
      <sz val="10"/>
    </font>
    <font>
      <name val="Calibri"/>
      <color rgb="00008000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8" fillId="4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0" fontId="0" fillId="0" borderId="6" applyAlignment="1" pivotButton="0" quotePrefix="0" xfId="0">
      <alignment horizontal="right" vertical="center"/>
    </xf>
    <xf numFmtId="3" fontId="0" fillId="0" borderId="6" applyAlignment="1" pivotButton="0" quotePrefix="0" xfId="0">
      <alignment horizontal="right" vertical="center"/>
    </xf>
    <xf numFmtId="3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  <bgColor rgb="00F8CBAD"/>
        </patternFill>
      </fill>
    </dxf>
    <dxf>
      <fill>
        <patternFill patternType="solid">
          <fgColor rgb="00FFF2CC"/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22" customHeight="1">
      <c r="A1" s="1" t="inlineStr">
        <is>
          <t>項目</t>
        </is>
      </c>
      <c r="B1" s="1" t="inlineStr">
        <is>
          <t>内容</t>
        </is>
      </c>
    </row>
    <row r="2" ht="42" customHeight="1">
      <c r="A2" s="2" t="inlineStr">
        <is>
          <t>このブックでできること</t>
        </is>
      </c>
      <c r="B2" s="3" t="inlineStr">
        <is>
          <t>AIチーム開発伴走支援を主軸にした事業計画（3年・月次）を、前提→売上→原価/販管費→P&amp;L→キャッシュ→KPI→容量まで一気通貫で計算します。</t>
        </is>
      </c>
    </row>
    <row r="3" ht="24" customHeight="1">
      <c r="A3" s="2" t="inlineStr">
        <is>
          <t>更新日</t>
        </is>
      </c>
      <c r="B3" s="3" t="inlineStr">
        <is>
          <t>2026-01-23（このチャットの日付）</t>
        </is>
      </c>
    </row>
    <row r="4" ht="42" customHeight="1">
      <c r="A4" s="2" t="inlineStr">
        <is>
          <t>使い方（最短）</t>
        </is>
      </c>
      <c r="B4" s="3" t="inlineStr">
        <is>
          <t>① 1_前提 で青文字のセルだけ入力 → ② 4_売上計画 で月ごとの新規契約数を入力 → ③ 6_P&amp;L と 8_KPI と 3_容量モデル を確認</t>
        </is>
      </c>
    </row>
    <row r="5" ht="24" customHeight="1">
      <c r="A5" s="2" t="inlineStr">
        <is>
          <t>入力ルール</t>
        </is>
      </c>
      <c r="B5" s="3" t="inlineStr">
        <is>
          <t>青文字＝入力。黒文字＝自動計算。数式セルは触らない前提。</t>
        </is>
      </c>
    </row>
    <row r="6" ht="24" customHeight="1">
      <c r="A6" s="2" t="inlineStr">
        <is>
          <t>注意</t>
        </is>
      </c>
      <c r="B6" s="3" t="inlineStr">
        <is>
          <t>助成金の条件・金額は制度変更があり得るため、必ず最新の公的資料で確認してください（参考リンクは 1_前提 に記載）。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60" customWidth="1" min="3" max="3"/>
  </cols>
  <sheetData>
    <row r="1" ht="26" customHeight="1">
      <c r="A1" s="4" t="inlineStr">
        <is>
          <t>前提（青文字セルが入力）</t>
        </is>
      </c>
    </row>
    <row r="3" ht="20" customHeight="1">
      <c r="A3" s="5" t="inlineStr">
        <is>
          <t>期間・シナリオ</t>
        </is>
      </c>
      <c r="B3" s="24" t="n"/>
      <c r="C3" s="25" t="n"/>
    </row>
    <row r="4" ht="22" customHeight="1">
      <c r="A4" s="3" t="inlineStr">
        <is>
          <t>開始月</t>
        </is>
      </c>
      <c r="B4" s="7" t="inlineStr">
        <is>
          <t>2026-01</t>
        </is>
      </c>
      <c r="C4" s="8" t="inlineStr">
        <is>
          <t>月次計画の開始（YYYY-MM）</t>
        </is>
      </c>
    </row>
    <row r="5" ht="22" customHeight="1">
      <c r="A5" s="3" t="inlineStr">
        <is>
          <t>計画期間（月）</t>
        </is>
      </c>
      <c r="B5" s="9" t="n">
        <v>24</v>
      </c>
      <c r="C5" s="8" t="inlineStr">
        <is>
          <t>ヶ月  24ヶ月＝2年（生成AIサービスの寿命前提）</t>
        </is>
      </c>
    </row>
    <row r="6" ht="22" customHeight="1">
      <c r="A6" s="3" t="inlineStr">
        <is>
          <t>シナリオ</t>
        </is>
      </c>
      <c r="B6" s="9" t="n">
        <v>2</v>
      </c>
      <c r="C6" s="8" t="inlineStr">
        <is>
          <t>1=保守 / 2=標準 / 3=攻め  感度シートの置き場（現状は参考）</t>
        </is>
      </c>
    </row>
    <row r="7" ht="20" customHeight="1">
      <c r="A7" s="5" t="inlineStr">
        <is>
          <t>提供プラン（売価・期間・人数）</t>
        </is>
      </c>
      <c r="B7" s="24" t="n"/>
      <c r="C7" s="25" t="n"/>
    </row>
    <row r="8" ht="22" customHeight="1">
      <c r="A8" s="3" t="inlineStr">
        <is>
          <t>AIチーム開発 伴走（標準）価格</t>
        </is>
      </c>
      <c r="B8" s="10" t="n">
        <v>3000000</v>
      </c>
      <c r="C8" s="8" t="inlineStr">
        <is>
          <t>円/社  例：3ヶ月の伴走一式（調整可）</t>
        </is>
      </c>
    </row>
    <row r="9" ht="22" customHeight="1">
      <c r="A9" s="3" t="inlineStr">
        <is>
          <t>AIチーム開発 伴走（標準）期間</t>
        </is>
      </c>
      <c r="B9" s="9" t="n">
        <v>3</v>
      </c>
      <c r="C9" s="8" t="inlineStr">
        <is>
          <t>ヶ月</t>
        </is>
      </c>
    </row>
    <row r="10" ht="22" customHeight="1">
      <c r="A10" s="3" t="inlineStr">
        <is>
          <t>AIチーム開発 伴走（標準）想定参加人数</t>
        </is>
      </c>
      <c r="B10" s="9" t="n">
        <v>5</v>
      </c>
      <c r="C10" s="8" t="inlineStr">
        <is>
          <t>人  例：3〜5名</t>
        </is>
      </c>
    </row>
    <row r="11" ht="22" customHeight="1">
      <c r="A11" s="3" t="inlineStr">
        <is>
          <t>ライトニング（1ヶ月集中）価格</t>
        </is>
      </c>
      <c r="B11" s="10" t="n">
        <v>5000000</v>
      </c>
      <c r="C11" s="8" t="inlineStr">
        <is>
          <t>円/社  1ヶ月短期集中。3名想定（調整可）</t>
        </is>
      </c>
    </row>
    <row r="12" ht="22" customHeight="1">
      <c r="A12" s="3" t="inlineStr">
        <is>
          <t>ライトニング（1ヶ月集中）期間</t>
        </is>
      </c>
      <c r="B12" s="9" t="n">
        <v>1</v>
      </c>
      <c r="C12" s="8" t="inlineStr">
        <is>
          <t>ヶ月</t>
        </is>
      </c>
    </row>
    <row r="13" ht="22" customHeight="1">
      <c r="A13" s="3" t="inlineStr">
        <is>
          <t>ライトニング（1ヶ月集中）想定参加人数</t>
        </is>
      </c>
      <c r="B13" s="9" t="n">
        <v>5</v>
      </c>
      <c r="C13" s="8" t="inlineStr">
        <is>
          <t>人（上限）  3〜5名を想定。LP上は上限5名を用意。</t>
        </is>
      </c>
    </row>
    <row r="14" ht="22" customHeight="1">
      <c r="A14" s="3" t="inlineStr">
        <is>
          <t>生成AI研修（座学+実務適用）価格</t>
        </is>
      </c>
      <c r="B14" s="10" t="n">
        <v>1200000</v>
      </c>
      <c r="C14" s="8" t="inlineStr">
        <is>
          <t>円/回  例：1ヶ月で認識（調整可）</t>
        </is>
      </c>
    </row>
    <row r="15" ht="22" customHeight="1">
      <c r="A15" s="3" t="inlineStr">
        <is>
          <t>生成AI研修（座学+実務適用）期間</t>
        </is>
      </c>
      <c r="B15" s="9" t="n">
        <v>1</v>
      </c>
      <c r="C15" s="8" t="inlineStr">
        <is>
          <t>ヶ月</t>
        </is>
      </c>
    </row>
    <row r="16" ht="22" customHeight="1">
      <c r="A16" s="3" t="inlineStr">
        <is>
          <t>生成AI研修（座学+実務適用）想定参加人数</t>
        </is>
      </c>
      <c r="B16" s="9" t="n">
        <v>20</v>
      </c>
      <c r="C16" s="8" t="inlineStr">
        <is>
          <t>人</t>
        </is>
      </c>
    </row>
    <row r="17" ht="20" customHeight="1">
      <c r="A17" s="5" t="inlineStr">
        <is>
          <t>支払い条件（キャッシュ）</t>
        </is>
      </c>
      <c r="B17" s="24" t="n"/>
      <c r="C17" s="25" t="n"/>
    </row>
    <row r="18" ht="22" customHeight="1">
      <c r="A18" s="3" t="inlineStr">
        <is>
          <t>契約時 前受比率</t>
        </is>
      </c>
      <c r="B18" s="11" t="n">
        <v>0.5</v>
      </c>
      <c r="C18" s="8" t="inlineStr">
        <is>
          <t>例：50% upfront</t>
        </is>
      </c>
    </row>
    <row r="19" ht="22" customHeight="1">
      <c r="A19" s="3" t="inlineStr">
        <is>
          <t>残額の回収期間</t>
        </is>
      </c>
      <c r="B19" s="9" t="n">
        <v>3</v>
      </c>
      <c r="C19" s="8" t="inlineStr">
        <is>
          <t>ヶ月  残額を均等回収（概算）</t>
        </is>
      </c>
    </row>
    <row r="20" ht="22" customHeight="1">
      <c r="A20" s="3" t="inlineStr">
        <is>
          <t>入金サイト</t>
        </is>
      </c>
      <c r="B20" s="9" t="n">
        <v>30</v>
      </c>
      <c r="C20" s="8" t="inlineStr">
        <is>
          <t>日  請求→入金まで（平均）</t>
        </is>
      </c>
    </row>
    <row r="21" ht="20" customHeight="1">
      <c r="A21" s="5" t="inlineStr">
        <is>
          <t>稼働・原価（人員コストの簡易モデル）</t>
        </is>
      </c>
      <c r="B21" s="24" t="n"/>
      <c r="C21" s="25" t="n"/>
    </row>
    <row r="22" ht="22" customHeight="1">
      <c r="A22" s="3" t="inlineStr">
        <is>
          <t>Sat 工数単価（社内原価）</t>
        </is>
      </c>
      <c r="B22" s="10" t="n">
        <v>7000</v>
      </c>
      <c r="C22" s="8" t="inlineStr">
        <is>
          <t>円/時間  窓口・PM/ファシリ</t>
        </is>
      </c>
    </row>
    <row r="23" ht="22" customHeight="1">
      <c r="A23" s="3" t="inlineStr">
        <is>
          <t>Uni 工数単価（社内原価）</t>
        </is>
      </c>
      <c r="B23" s="10" t="n">
        <v>8000</v>
      </c>
      <c r="C23" s="8" t="inlineStr">
        <is>
          <t>円/時間  インストラクター</t>
        </is>
      </c>
    </row>
    <row r="24" ht="22" customHeight="1">
      <c r="A24" s="3" t="inlineStr">
        <is>
          <t>Tim 工数単価（社内原価）</t>
        </is>
      </c>
      <c r="B24" s="10" t="n">
        <v>12000</v>
      </c>
      <c r="C24" s="8" t="inlineStr">
        <is>
          <t>円/時間  設計・レビュー</t>
        </is>
      </c>
    </row>
    <row r="25" ht="22" customHeight="1">
      <c r="A25" s="3" t="inlineStr">
        <is>
          <t>Sat 月間稼働上限</t>
        </is>
      </c>
      <c r="B25" s="12" t="n">
        <v>120</v>
      </c>
      <c r="C25" s="8" t="inlineStr">
        <is>
          <t>時間/月</t>
        </is>
      </c>
    </row>
    <row r="26" ht="22" customHeight="1">
      <c r="A26" s="3" t="inlineStr">
        <is>
          <t>Uni 月間稼働上限</t>
        </is>
      </c>
      <c r="B26" s="12" t="n">
        <v>80</v>
      </c>
      <c r="C26" s="8" t="inlineStr">
        <is>
          <t>時間/月</t>
        </is>
      </c>
    </row>
    <row r="27" ht="22" customHeight="1">
      <c r="A27" s="3" t="inlineStr">
        <is>
          <t>Tim 月間稼働上限</t>
        </is>
      </c>
      <c r="B27" s="12" t="n">
        <v>80</v>
      </c>
      <c r="C27" s="8" t="inlineStr">
        <is>
          <t>時間/月</t>
        </is>
      </c>
    </row>
    <row r="28" ht="22" customHeight="1">
      <c r="A28" s="3" t="inlineStr">
        <is>
          <t>直接費（1案件あたり）</t>
        </is>
      </c>
      <c r="B28" s="10" t="n">
        <v>50000</v>
      </c>
      <c r="C28" s="8" t="inlineStr">
        <is>
          <t>円/社  旅費・資料・ツール増分など</t>
        </is>
      </c>
    </row>
    <row r="29" ht="20" customHeight="1">
      <c r="A29" s="5" t="inlineStr">
        <is>
          <t>販管費（固定費）</t>
        </is>
      </c>
      <c r="B29" s="24" t="n"/>
      <c r="C29" s="25" t="n"/>
    </row>
    <row r="30" ht="22" customHeight="1">
      <c r="A30" s="3" t="inlineStr">
        <is>
          <t>マーケ費（月額）</t>
        </is>
      </c>
      <c r="B30" s="10" t="n">
        <v>300000</v>
      </c>
      <c r="C30" s="8" t="inlineStr">
        <is>
          <t>円/月  広告/ウェビナー/制作外注</t>
        </is>
      </c>
    </row>
    <row r="31" ht="22" customHeight="1">
      <c r="A31" s="3" t="inlineStr">
        <is>
          <t>ツール費（月額）</t>
        </is>
      </c>
      <c r="B31" s="10">
        <f>B47*B48*B49</f>
        <v/>
      </c>
      <c r="C31" s="8" t="inlineStr">
        <is>
          <t>円/月  200USD/人・月 × 人数 × USDJPY</t>
        </is>
      </c>
    </row>
    <row r="32" ht="22" customHeight="1">
      <c r="A32" s="3" t="inlineStr">
        <is>
          <t>バックオフィス（月額）</t>
        </is>
      </c>
      <c r="B32" s="10" t="n">
        <v>150000</v>
      </c>
      <c r="C32" s="8" t="inlineStr">
        <is>
          <t>円/月  会計/社労士/法務</t>
        </is>
      </c>
    </row>
    <row r="33" ht="22" customHeight="1">
      <c r="A33" s="3" t="inlineStr">
        <is>
          <t>その他固定費（月額）</t>
        </is>
      </c>
      <c r="B33" s="10" t="n">
        <v>70000</v>
      </c>
      <c r="C33" s="8" t="inlineStr">
        <is>
          <t>円/月  通信/雑費</t>
        </is>
      </c>
    </row>
    <row r="34" ht="20" customHeight="1">
      <c r="A34" s="5" t="inlineStr">
        <is>
          <t>営業ファネル（目安）</t>
        </is>
      </c>
      <c r="B34" s="24" t="n"/>
      <c r="C34" s="25" t="n"/>
    </row>
    <row r="35" ht="22" customHeight="1">
      <c r="A35" s="3" t="inlineStr">
        <is>
          <t>リード→初回相談 率</t>
        </is>
      </c>
      <c r="B35" s="11" t="n">
        <v>0.2</v>
      </c>
      <c r="C35" s="8" t="inlineStr"/>
    </row>
    <row r="36" ht="22" customHeight="1">
      <c r="A36" s="3" t="inlineStr">
        <is>
          <t>初回相談→提案 率</t>
        </is>
      </c>
      <c r="B36" s="11" t="n">
        <v>0.5</v>
      </c>
      <c r="C36" s="8" t="inlineStr"/>
    </row>
    <row r="37" ht="22" customHeight="1">
      <c r="A37" s="3" t="inlineStr">
        <is>
          <t>提案→受注 率</t>
        </is>
      </c>
      <c r="B37" s="11" t="n">
        <v>0.3</v>
      </c>
      <c r="C37" s="8" t="inlineStr"/>
    </row>
    <row r="38" ht="20" customHeight="1">
      <c r="A38" s="5" t="inlineStr">
        <is>
          <t>助成金（参考：顧客側の費用圧縮に影響）</t>
        </is>
      </c>
      <c r="B38" s="24" t="n"/>
      <c r="C38" s="25" t="n"/>
    </row>
    <row r="39" ht="22" customHeight="1">
      <c r="A39" s="3" t="inlineStr">
        <is>
          <t>事業展開等リスキリング支援コース：経費助成率（中小企業）</t>
        </is>
      </c>
      <c r="B39" s="11" t="n">
        <v>0.75</v>
      </c>
      <c r="C39" s="8" t="inlineStr">
        <is>
          <t>MHLW資料（R7.4.1版）</t>
        </is>
      </c>
    </row>
    <row r="40" ht="22" customHeight="1">
      <c r="A40" s="3" t="inlineStr">
        <is>
          <t>事業展開等リスキリング支援コース：経費助成率（中小企業以外）</t>
        </is>
      </c>
      <c r="B40" s="11" t="n">
        <v>0.6</v>
      </c>
      <c r="C40" s="8" t="inlineStr">
        <is>
          <t>同上</t>
        </is>
      </c>
    </row>
    <row r="41" ht="22" customHeight="1">
      <c r="A41" s="3" t="inlineStr">
        <is>
          <t>事業展開等リスキリング支援コース：賃金助成（中小企業）</t>
        </is>
      </c>
      <c r="B41" s="10" t="n">
        <v>1000</v>
      </c>
      <c r="C41" s="8" t="inlineStr">
        <is>
          <t>円/時間  1人1時間あたり</t>
        </is>
      </c>
    </row>
    <row r="42" ht="22" customHeight="1">
      <c r="A42" s="3" t="inlineStr">
        <is>
          <t>事業展開等リスキリング支援コース：賃金助成（中小企業以外）</t>
        </is>
      </c>
      <c r="B42" s="10" t="n">
        <v>500</v>
      </c>
      <c r="C42" s="8" t="inlineStr">
        <is>
          <t>円/時間  1人1時間あたり</t>
        </is>
      </c>
    </row>
    <row r="43" ht="22" customHeight="1">
      <c r="A43" s="3" t="inlineStr">
        <is>
          <t>訓練時間の要件（目安）</t>
        </is>
      </c>
      <c r="B43" s="9" t="n">
        <v>10</v>
      </c>
      <c r="C43" s="8" t="inlineStr">
        <is>
          <t>時間以上  OFF-JTの実訓練時間（要確認）</t>
        </is>
      </c>
    </row>
    <row r="44" ht="30" customHeight="1">
      <c r="A44" s="3" t="inlineStr">
        <is>
          <t>参考リンク（公的）</t>
        </is>
      </c>
      <c r="B44" s="13" t="inlineStr">
        <is>
          <t>https://www.mhlw.go.jp/stf/seisakunitsuite/bunya/koyou_roudou/koyou/kyufukin/d01-1.html</t>
        </is>
      </c>
      <c r="C44" s="8" t="inlineStr">
        <is>
          <t>人材開発支援助成金（コース一覧・パンフレット）</t>
        </is>
      </c>
    </row>
    <row r="45" ht="30" customHeight="1">
      <c r="A45" s="3" t="inlineStr">
        <is>
          <t>参考リンク（詳細版パンフ）</t>
        </is>
      </c>
      <c r="B45" s="13" t="inlineStr">
        <is>
          <t>https://www.mhlw.go.jp/content/11800000/001514283.pdf</t>
        </is>
      </c>
      <c r="C45" s="8" t="inlineStr">
        <is>
          <t>事業展開等リスキリング支援コース（詳細版）</t>
        </is>
      </c>
    </row>
    <row r="47">
      <c r="A47" t="inlineStr">
        <is>
          <t>為替レート（USDJPY）</t>
        </is>
      </c>
      <c r="B47" t="n">
        <v>156</v>
      </c>
      <c r="C47" t="inlineStr">
        <is>
          <t>円/USD  直近相場の目安。必要に応じて調整。</t>
        </is>
      </c>
    </row>
    <row r="48">
      <c r="A48" t="inlineStr">
        <is>
          <t>経費（USD/人・月）</t>
        </is>
      </c>
      <c r="B48" t="n">
        <v>200</v>
      </c>
      <c r="C48" t="inlineStr">
        <is>
          <t>USD/人・月  ツール/AI/SaaS等の想定</t>
        </is>
      </c>
    </row>
    <row r="49">
      <c r="A49" t="inlineStr">
        <is>
          <t>経費対象人数（人）</t>
        </is>
      </c>
      <c r="B49" t="n">
        <v>3</v>
      </c>
      <c r="C49" t="inlineStr">
        <is>
          <t>Sat/Uni/Timの3名想定（必要に応じて調整）</t>
        </is>
      </c>
    </row>
  </sheetData>
  <mergeCells count="8">
    <mergeCell ref="A1:C1"/>
    <mergeCell ref="A17:C17"/>
    <mergeCell ref="A3:C3"/>
    <mergeCell ref="A21:C21"/>
    <mergeCell ref="A34:C34"/>
    <mergeCell ref="A29:C29"/>
    <mergeCell ref="A7:C7"/>
    <mergeCell ref="A38:C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40" customWidth="1" min="5" max="5"/>
  </cols>
  <sheetData>
    <row r="1" ht="26" customHeight="1">
      <c r="A1" s="4" t="inlineStr">
        <is>
          <t>プラン設計（売価・工数・粗利の整合をチェック）</t>
        </is>
      </c>
    </row>
    <row r="3" ht="22" customHeight="1">
      <c r="A3" s="1" t="inlineStr">
        <is>
          <t>項目</t>
        </is>
      </c>
      <c r="B3" s="1" t="inlineStr">
        <is>
          <t>AIチーム開発（標準）</t>
        </is>
      </c>
      <c r="C3" s="1" t="inlineStr">
        <is>
          <t>ライトニング（1ヶ月）</t>
        </is>
      </c>
      <c r="D3" s="1" t="inlineStr">
        <is>
          <t>生成AI研修</t>
        </is>
      </c>
      <c r="E3" s="1" t="inlineStr">
        <is>
          <t>メモ</t>
        </is>
      </c>
    </row>
    <row r="4" ht="24" customHeight="1">
      <c r="A4" s="3" t="inlineStr">
        <is>
          <t>価格</t>
        </is>
      </c>
      <c r="B4" s="14">
        <f>TeamStd_Price</f>
        <v/>
      </c>
      <c r="C4" s="14">
        <f>Lightning_Price</f>
        <v/>
      </c>
      <c r="D4" s="14">
        <f>Training_Price</f>
        <v/>
      </c>
      <c r="E4" s="8" t="inlineStr">
        <is>
          <t>税別/税込は別途。まずは税別想定。</t>
        </is>
      </c>
    </row>
    <row r="5" ht="24" customHeight="1">
      <c r="A5" s="3" t="inlineStr">
        <is>
          <t>期間（月）</t>
        </is>
      </c>
      <c r="B5" s="15">
        <f>TeamStd_Duration</f>
        <v/>
      </c>
      <c r="C5" s="15">
        <f>Lightning_Duration</f>
        <v/>
      </c>
      <c r="D5" s="15">
        <f>Training_Duration</f>
        <v/>
      </c>
      <c r="E5" s="8" t="inlineStr">
        <is>
          <t>月次モデルの収益認識期間</t>
        </is>
      </c>
    </row>
    <row r="6" ht="24" customHeight="1">
      <c r="A6" s="3" t="inlineStr">
        <is>
          <t>想定参加人数</t>
        </is>
      </c>
      <c r="B6" s="15">
        <f>'1_前提'!$B$10</f>
        <v/>
      </c>
      <c r="C6" s="15">
        <f>'1_前提'!$B$13</f>
        <v/>
      </c>
      <c r="D6" s="15">
        <f>'1_前提'!$B$16</f>
        <v/>
      </c>
      <c r="E6" s="8" t="inlineStr">
        <is>
          <t>LP上の『◯名まで』表現の基準</t>
        </is>
      </c>
    </row>
    <row r="7" ht="20" customHeight="1">
      <c r="A7" s="2" t="inlineStr">
        <is>
          <t>月あたりの提供工数（入力）</t>
        </is>
      </c>
      <c r="B7" s="24" t="n"/>
      <c r="C7" s="24" t="n"/>
      <c r="D7" s="24" t="n"/>
      <c r="E7" s="25" t="n"/>
    </row>
    <row r="8" ht="24" customHeight="1">
      <c r="A8" s="3" t="inlineStr">
        <is>
          <t>Sat（窓口/PM/ファシリ）</t>
        </is>
      </c>
      <c r="B8" s="12" t="n">
        <v>20</v>
      </c>
      <c r="C8" s="12" t="n">
        <v>40</v>
      </c>
      <c r="D8" s="12" t="n">
        <v>6</v>
      </c>
      <c r="E8" s="8" t="inlineStr">
        <is>
          <t>時間/月。MTG設定・ファシリ・議事録/タスク化も含める</t>
        </is>
      </c>
    </row>
    <row r="9" ht="24" customHeight="1">
      <c r="A9" s="3" t="inlineStr">
        <is>
          <t>Uni（インストラクター）</t>
        </is>
      </c>
      <c r="B9" s="12" t="n">
        <v>24</v>
      </c>
      <c r="C9" s="12" t="n">
        <v>50</v>
      </c>
      <c r="D9" s="12" t="n">
        <v>10</v>
      </c>
      <c r="E9" s="8" t="inlineStr">
        <is>
          <t>時間/月。現場参加・添削</t>
        </is>
      </c>
    </row>
    <row r="10" ht="24" customHeight="1">
      <c r="A10" s="3" t="inlineStr">
        <is>
          <t>Tim（設計/インストラクター）</t>
        </is>
      </c>
      <c r="B10" s="12" t="n">
        <v>16</v>
      </c>
      <c r="C10" s="12" t="n">
        <v>40</v>
      </c>
      <c r="D10" s="12" t="n">
        <v>8</v>
      </c>
      <c r="E10" s="8" t="inlineStr">
        <is>
          <t>時間/月。設計・レビュー</t>
        </is>
      </c>
    </row>
    <row r="11" ht="24" customHeight="1">
      <c r="A11" s="3" t="inlineStr">
        <is>
          <t>直接費（平均）</t>
        </is>
      </c>
      <c r="B11" s="14">
        <f>DirectCost_PerDeal</f>
        <v/>
      </c>
      <c r="C11" s="14">
        <f>DirectCost_PerDeal</f>
        <v/>
      </c>
      <c r="D11" s="14">
        <f>DirectCost_PerDeal</f>
        <v/>
      </c>
      <c r="E11" s="8" t="inlineStr">
        <is>
          <t>旅費・資料・ツール増分など（平均）</t>
        </is>
      </c>
    </row>
    <row r="12" ht="20" customHeight="1">
      <c r="A12" s="2" t="inlineStr">
        <is>
          <t>粗利計算（自動）</t>
        </is>
      </c>
      <c r="B12" s="24" t="n"/>
      <c r="C12" s="24" t="n"/>
      <c r="D12" s="24" t="n"/>
      <c r="E12" s="25" t="n"/>
    </row>
    <row r="13" ht="22" customHeight="1">
      <c r="A13" s="3" t="inlineStr">
        <is>
          <t>月次 原価（人件費）</t>
        </is>
      </c>
      <c r="B13" s="14">
        <f>('2_プラン設計'!$B$8*Sat_Rate)+('2_プラン設計'!$B$9*Uni_Rate)+('2_プラン設計'!$B$10*Tim_Rate)</f>
        <v/>
      </c>
      <c r="C13" s="14">
        <f>('2_プラン設計'!$C$8*Sat_Rate)+('2_プラン設計'!$C$9*Uni_Rate)+('2_プラン設計'!$C$10*Tim_Rate)</f>
        <v/>
      </c>
      <c r="D13" s="14">
        <f>('2_プラン設計'!$D$8*Sat_Rate)+('2_プラン設計'!$D$9*Uni_Rate)+('2_プラン設計'!$D$10*Tim_Rate)</f>
        <v/>
      </c>
      <c r="E13" s="8" t="inlineStr">
        <is>
          <t>工数×社内原価単価</t>
        </is>
      </c>
    </row>
    <row r="14" ht="22" customHeight="1">
      <c r="A14" s="3" t="inlineStr">
        <is>
          <t>月次 原価（直接費）</t>
        </is>
      </c>
      <c r="B14" s="14">
        <f>DirectCost_PerDeal</f>
        <v/>
      </c>
      <c r="C14" s="14">
        <f>DirectCost_PerDeal</f>
        <v/>
      </c>
      <c r="D14" s="14">
        <f>DirectCost_PerDeal</f>
        <v/>
      </c>
      <c r="E14" s="8" t="inlineStr">
        <is>
          <t>平均直接費（必要なら後で配賦調整）</t>
        </is>
      </c>
    </row>
    <row r="15" ht="22" customHeight="1">
      <c r="A15" s="3" t="inlineStr">
        <is>
          <t>月次 原価 合計</t>
        </is>
      </c>
      <c r="B15" s="14">
        <f>B13+B14</f>
        <v/>
      </c>
      <c r="C15" s="14">
        <f>C13+C14</f>
        <v/>
      </c>
      <c r="D15" s="14">
        <f>D13+D14</f>
        <v/>
      </c>
      <c r="E15" s="8" t="inlineStr"/>
    </row>
    <row r="16" ht="22" customHeight="1">
      <c r="A16" s="3" t="inlineStr">
        <is>
          <t>月次 売上（収益認識）</t>
        </is>
      </c>
      <c r="B16" s="14">
        <f>B4/B5</f>
        <v/>
      </c>
      <c r="C16" s="14">
        <f>C4/C5</f>
        <v/>
      </c>
      <c r="D16" s="14">
        <f>D4/D5</f>
        <v/>
      </c>
      <c r="E16" s="8" t="inlineStr">
        <is>
          <t>価格÷期間（月）</t>
        </is>
      </c>
    </row>
    <row r="17" ht="22" customHeight="1">
      <c r="A17" s="3" t="inlineStr">
        <is>
          <t>月次 粗利</t>
        </is>
      </c>
      <c r="B17" s="14">
        <f>B16-B15</f>
        <v/>
      </c>
      <c r="C17" s="14">
        <f>C16-C15</f>
        <v/>
      </c>
      <c r="D17" s="14">
        <f>D16-D15</f>
        <v/>
      </c>
      <c r="E17" s="8" t="inlineStr"/>
    </row>
    <row r="18" ht="22" customHeight="1">
      <c r="A18" s="3" t="inlineStr">
        <is>
          <t>粗利率</t>
        </is>
      </c>
      <c r="B18" s="16">
        <f>IF(B16=0,0,B17/B16)</f>
        <v/>
      </c>
      <c r="C18" s="16">
        <f>IF(C16=0,0,C17/C16)</f>
        <v/>
      </c>
      <c r="D18" s="16">
        <f>IF(D16=0,0,D17/D16)</f>
        <v/>
      </c>
      <c r="E18" s="8" t="inlineStr"/>
    </row>
    <row r="19" ht="22" customHeight="1">
      <c r="A19" s="3" t="inlineStr">
        <is>
          <t>参加者あたり単価（参考）</t>
        </is>
      </c>
      <c r="B19" s="14">
        <f>IF(B6=0,0,B4/B6)</f>
        <v/>
      </c>
      <c r="C19" s="14">
        <f>IF(C6=0,0,C4/C6)</f>
        <v/>
      </c>
      <c r="D19" s="14">
        <f>IF(D6=0,0,D4/D6)</f>
        <v/>
      </c>
      <c r="E19" s="8" t="inlineStr">
        <is>
          <t>LP訴求用（目安）</t>
        </is>
      </c>
    </row>
  </sheetData>
  <mergeCells count="3">
    <mergeCell ref="A1:E1"/>
    <mergeCell ref="A7:E7"/>
    <mergeCell ref="A12:E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hidden="1" width="9" customWidth="1" min="26" max="26"/>
    <col hidden="1" width="9" customWidth="1" min="27" max="27"/>
    <col hidden="1" width="9" customWidth="1" min="28" max="28"/>
    <col hidden="1" width="9" customWidth="1" min="29" max="29"/>
    <col hidden="1" width="9" customWidth="1" min="30" max="30"/>
    <col hidden="1" width="9" customWidth="1" min="31" max="31"/>
    <col hidden="1" width="9" customWidth="1" min="32" max="32"/>
    <col hidden="1" width="9" customWidth="1" min="33" max="33"/>
    <col hidden="1" width="9" customWidth="1" min="34" max="34"/>
    <col hidden="1" width="9" customWidth="1" min="35" max="35"/>
    <col hidden="1" width="9" customWidth="1" min="36" max="36"/>
    <col hidden="1" width="9" customWidth="1" min="37" max="37"/>
  </cols>
  <sheetData>
    <row r="1" ht="26" customHeight="1">
      <c r="A1" s="4" t="inlineStr">
        <is>
          <t>売上計画（月次）— 新規契約数を入力すると自動計算</t>
        </is>
      </c>
    </row>
    <row r="3">
      <c r="A3" s="1" t="inlineStr">
        <is>
          <t>項目</t>
        </is>
      </c>
      <c r="B3" s="1" t="inlineStr">
        <is>
          <t>2026-01</t>
        </is>
      </c>
      <c r="C3" s="1" t="inlineStr">
        <is>
          <t>2026-02</t>
        </is>
      </c>
      <c r="D3" s="1" t="inlineStr">
        <is>
          <t>2026-03</t>
        </is>
      </c>
      <c r="E3" s="1" t="inlineStr">
        <is>
          <t>2026-04</t>
        </is>
      </c>
      <c r="F3" s="1" t="inlineStr">
        <is>
          <t>2026-05</t>
        </is>
      </c>
      <c r="G3" s="1" t="inlineStr">
        <is>
          <t>2026-06</t>
        </is>
      </c>
      <c r="H3" s="1" t="inlineStr">
        <is>
          <t>2026-07</t>
        </is>
      </c>
      <c r="I3" s="1" t="inlineStr">
        <is>
          <t>2026-08</t>
        </is>
      </c>
      <c r="J3" s="1" t="inlineStr">
        <is>
          <t>2026-09</t>
        </is>
      </c>
      <c r="K3" s="1" t="inlineStr">
        <is>
          <t>2026-10</t>
        </is>
      </c>
      <c r="L3" s="1" t="inlineStr">
        <is>
          <t>2026-11</t>
        </is>
      </c>
      <c r="M3" s="1" t="inlineStr">
        <is>
          <t>2026-12</t>
        </is>
      </c>
      <c r="N3" s="1" t="inlineStr">
        <is>
          <t>2027-01</t>
        </is>
      </c>
      <c r="O3" s="1" t="inlineStr">
        <is>
          <t>2027-02</t>
        </is>
      </c>
      <c r="P3" s="1" t="inlineStr">
        <is>
          <t>2027-03</t>
        </is>
      </c>
      <c r="Q3" s="1" t="inlineStr">
        <is>
          <t>2027-04</t>
        </is>
      </c>
      <c r="R3" s="1" t="inlineStr">
        <is>
          <t>2027-05</t>
        </is>
      </c>
      <c r="S3" s="1" t="inlineStr">
        <is>
          <t>2027-06</t>
        </is>
      </c>
      <c r="T3" s="1" t="inlineStr">
        <is>
          <t>2027-07</t>
        </is>
      </c>
      <c r="U3" s="1" t="inlineStr">
        <is>
          <t>2027-08</t>
        </is>
      </c>
      <c r="V3" s="1" t="inlineStr">
        <is>
          <t>2027-09</t>
        </is>
      </c>
      <c r="W3" s="1" t="inlineStr">
        <is>
          <t>2027-10</t>
        </is>
      </c>
      <c r="X3" s="1" t="inlineStr">
        <is>
          <t>2027-11</t>
        </is>
      </c>
      <c r="Y3" s="1" t="inlineStr">
        <is>
          <t>2027-12</t>
        </is>
      </c>
      <c r="Z3" s="1" t="inlineStr">
        <is>
          <t>2028-01</t>
        </is>
      </c>
      <c r="AA3" s="1" t="inlineStr">
        <is>
          <t>2028-02</t>
        </is>
      </c>
      <c r="AB3" s="1" t="inlineStr">
        <is>
          <t>2028-03</t>
        </is>
      </c>
      <c r="AC3" s="1" t="inlineStr">
        <is>
          <t>2028-04</t>
        </is>
      </c>
      <c r="AD3" s="1" t="inlineStr">
        <is>
          <t>2028-05</t>
        </is>
      </c>
      <c r="AE3" s="1" t="inlineStr">
        <is>
          <t>2028-06</t>
        </is>
      </c>
      <c r="AF3" s="1" t="inlineStr">
        <is>
          <t>2028-07</t>
        </is>
      </c>
      <c r="AG3" s="1" t="inlineStr">
        <is>
          <t>2028-08</t>
        </is>
      </c>
      <c r="AH3" s="1" t="inlineStr">
        <is>
          <t>2028-09</t>
        </is>
      </c>
      <c r="AI3" s="1" t="inlineStr">
        <is>
          <t>2028-10</t>
        </is>
      </c>
      <c r="AJ3" s="1" t="inlineStr">
        <is>
          <t>2028-11</t>
        </is>
      </c>
      <c r="AK3" s="1" t="inlineStr">
        <is>
          <t>2028-12</t>
        </is>
      </c>
    </row>
    <row r="4">
      <c r="A4" s="8" t="inlineStr">
        <is>
          <t>月番号</t>
        </is>
      </c>
      <c r="B4" s="17" t="n">
        <v>1</v>
      </c>
      <c r="C4" s="17" t="n">
        <v>2</v>
      </c>
      <c r="D4" s="17" t="n">
        <v>3</v>
      </c>
      <c r="E4" s="17" t="n">
        <v>4</v>
      </c>
      <c r="F4" s="17" t="n">
        <v>5</v>
      </c>
      <c r="G4" s="17" t="n">
        <v>6</v>
      </c>
      <c r="H4" s="17" t="n">
        <v>7</v>
      </c>
      <c r="I4" s="17" t="n">
        <v>8</v>
      </c>
      <c r="J4" s="17" t="n">
        <v>9</v>
      </c>
      <c r="K4" s="17" t="n">
        <v>10</v>
      </c>
      <c r="L4" s="17" t="n">
        <v>11</v>
      </c>
      <c r="M4" s="17" t="n">
        <v>12</v>
      </c>
      <c r="N4" s="17" t="n">
        <v>13</v>
      </c>
      <c r="O4" s="17" t="n">
        <v>14</v>
      </c>
      <c r="P4" s="17" t="n">
        <v>15</v>
      </c>
      <c r="Q4" s="17" t="n">
        <v>16</v>
      </c>
      <c r="R4" s="17" t="n">
        <v>17</v>
      </c>
      <c r="S4" s="17" t="n">
        <v>18</v>
      </c>
      <c r="T4" s="17" t="n">
        <v>19</v>
      </c>
      <c r="U4" s="17" t="n">
        <v>20</v>
      </c>
      <c r="V4" s="17" t="n">
        <v>21</v>
      </c>
      <c r="W4" s="17" t="n">
        <v>22</v>
      </c>
      <c r="X4" s="17" t="n">
        <v>23</v>
      </c>
      <c r="Y4" s="17" t="n">
        <v>24</v>
      </c>
      <c r="Z4" s="17" t="n">
        <v>25</v>
      </c>
      <c r="AA4" s="17" t="n">
        <v>26</v>
      </c>
      <c r="AB4" s="17" t="n">
        <v>27</v>
      </c>
      <c r="AC4" s="17" t="n">
        <v>28</v>
      </c>
      <c r="AD4" s="17" t="n">
        <v>29</v>
      </c>
      <c r="AE4" s="17" t="n">
        <v>30</v>
      </c>
      <c r="AF4" s="17" t="n">
        <v>31</v>
      </c>
      <c r="AG4" s="17" t="n">
        <v>32</v>
      </c>
      <c r="AH4" s="17" t="n">
        <v>33</v>
      </c>
      <c r="AI4" s="17" t="n">
        <v>34</v>
      </c>
      <c r="AJ4" s="17" t="n">
        <v>35</v>
      </c>
      <c r="AK4" s="17" t="n">
        <v>36</v>
      </c>
    </row>
    <row r="6" ht="20" customHeight="1">
      <c r="A6" s="5" t="inlineStr">
        <is>
          <t>入力：月ごとの新規契約数（社数/回数）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5" t="n"/>
    </row>
    <row r="7" ht="20" customHeight="1">
      <c r="A7" s="3" t="inlineStr">
        <is>
          <t>新規：AIチーム開発（標準）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  <c r="AD7" s="18" t="n">
        <v>0</v>
      </c>
      <c r="AE7" s="18" t="n">
        <v>0</v>
      </c>
      <c r="AF7" s="18" t="n">
        <v>0</v>
      </c>
      <c r="AG7" s="18" t="n">
        <v>0</v>
      </c>
      <c r="AH7" s="18" t="n">
        <v>0</v>
      </c>
      <c r="AI7" s="18" t="n">
        <v>0</v>
      </c>
      <c r="AJ7" s="18" t="n">
        <v>0</v>
      </c>
      <c r="AK7" s="18" t="n">
        <v>0</v>
      </c>
    </row>
    <row r="8" ht="20" customHeight="1">
      <c r="A8" s="3" t="inlineStr">
        <is>
          <t>新規：ライトニング（1ヶ月）</t>
        </is>
      </c>
      <c r="B8" s="18" t="n">
        <v>0</v>
      </c>
      <c r="C8" s="18" t="n">
        <v>0</v>
      </c>
      <c r="D8" s="18" t="n">
        <v>0</v>
      </c>
      <c r="E8" s="18" t="n">
        <v>0</v>
      </c>
      <c r="F8" s="18" t="n">
        <v>0</v>
      </c>
      <c r="G8" s="18" t="n">
        <v>0</v>
      </c>
      <c r="H8" s="18" t="n">
        <v>0</v>
      </c>
      <c r="I8" s="18" t="n">
        <v>0</v>
      </c>
      <c r="J8" s="18" t="n">
        <v>0</v>
      </c>
      <c r="K8" s="18" t="n">
        <v>0</v>
      </c>
      <c r="L8" s="18" t="n">
        <v>0</v>
      </c>
      <c r="M8" s="18" t="n">
        <v>0</v>
      </c>
      <c r="N8" s="18" t="n">
        <v>0</v>
      </c>
      <c r="O8" s="18" t="n">
        <v>0</v>
      </c>
      <c r="P8" s="18" t="n">
        <v>0</v>
      </c>
      <c r="Q8" s="18" t="n">
        <v>0</v>
      </c>
      <c r="R8" s="18" t="n">
        <v>0</v>
      </c>
      <c r="S8" s="18" t="n">
        <v>0</v>
      </c>
      <c r="T8" s="18" t="n">
        <v>0</v>
      </c>
      <c r="U8" s="18" t="n">
        <v>0</v>
      </c>
      <c r="V8" s="18" t="n">
        <v>0</v>
      </c>
      <c r="W8" s="18" t="n">
        <v>0</v>
      </c>
      <c r="X8" s="18" t="n">
        <v>0</v>
      </c>
      <c r="Y8" s="18" t="n">
        <v>0</v>
      </c>
      <c r="Z8" s="18" t="n">
        <v>0</v>
      </c>
      <c r="AA8" s="18" t="n">
        <v>0</v>
      </c>
      <c r="AB8" s="18" t="n">
        <v>0</v>
      </c>
      <c r="AC8" s="18" t="n">
        <v>0</v>
      </c>
      <c r="AD8" s="18" t="n">
        <v>0</v>
      </c>
      <c r="AE8" s="18" t="n">
        <v>0</v>
      </c>
      <c r="AF8" s="18" t="n">
        <v>0</v>
      </c>
      <c r="AG8" s="18" t="n">
        <v>0</v>
      </c>
      <c r="AH8" s="18" t="n">
        <v>0</v>
      </c>
      <c r="AI8" s="18" t="n">
        <v>0</v>
      </c>
      <c r="AJ8" s="18" t="n">
        <v>0</v>
      </c>
      <c r="AK8" s="18" t="n">
        <v>0</v>
      </c>
    </row>
    <row r="9" ht="20" customHeight="1">
      <c r="A9" s="3" t="inlineStr">
        <is>
          <t>新規：生成AI研修</t>
        </is>
      </c>
      <c r="B9" s="18" t="n">
        <v>0</v>
      </c>
      <c r="C9" s="18" t="n">
        <v>0</v>
      </c>
      <c r="D9" s="18" t="n">
        <v>0</v>
      </c>
      <c r="E9" s="18" t="n">
        <v>0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0</v>
      </c>
      <c r="L9" s="18" t="n">
        <v>0</v>
      </c>
      <c r="M9" s="18" t="n">
        <v>0</v>
      </c>
      <c r="N9" s="18" t="n">
        <v>0</v>
      </c>
      <c r="O9" s="18" t="n">
        <v>0</v>
      </c>
      <c r="P9" s="18" t="n">
        <v>0</v>
      </c>
      <c r="Q9" s="18" t="n">
        <v>0</v>
      </c>
      <c r="R9" s="18" t="n">
        <v>0</v>
      </c>
      <c r="S9" s="18" t="n">
        <v>0</v>
      </c>
      <c r="T9" s="18" t="n">
        <v>0</v>
      </c>
      <c r="U9" s="18" t="n">
        <v>0</v>
      </c>
      <c r="V9" s="18" t="n">
        <v>0</v>
      </c>
      <c r="W9" s="18" t="n">
        <v>0</v>
      </c>
      <c r="X9" s="18" t="n">
        <v>0</v>
      </c>
      <c r="Y9" s="18" t="n">
        <v>0</v>
      </c>
      <c r="Z9" s="18" t="n">
        <v>0</v>
      </c>
      <c r="AA9" s="18" t="n">
        <v>0</v>
      </c>
      <c r="AB9" s="18" t="n">
        <v>0</v>
      </c>
      <c r="AC9" s="18" t="n">
        <v>0</v>
      </c>
      <c r="AD9" s="18" t="n">
        <v>0</v>
      </c>
      <c r="AE9" s="18" t="n">
        <v>0</v>
      </c>
      <c r="AF9" s="18" t="n">
        <v>0</v>
      </c>
      <c r="AG9" s="18" t="n">
        <v>0</v>
      </c>
      <c r="AH9" s="18" t="n">
        <v>0</v>
      </c>
      <c r="AI9" s="18" t="n">
        <v>0</v>
      </c>
      <c r="AJ9" s="18" t="n">
        <v>0</v>
      </c>
      <c r="AK9" s="18" t="n">
        <v>0</v>
      </c>
    </row>
    <row r="10" ht="20" customHeight="1">
      <c r="A10" s="5" t="inlineStr">
        <is>
          <t>計算：アクティブ件数（収益認識の対象）</t>
        </is>
      </c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5" t="n"/>
    </row>
    <row r="11" ht="20" customHeight="1">
      <c r="A11" s="3" t="inlineStr">
        <is>
          <t>アクティブ：AIチーム開発（標準）</t>
        </is>
      </c>
      <c r="B11" s="15">
        <f>SUMPRODUCT(($B$4:AK$4&gt;=B$4-TeamStd_Duration+1)*($B$4:AK$4&lt;=B$4),$B$7:AK$7)</f>
        <v/>
      </c>
      <c r="C11" s="15">
        <f>SUMPRODUCT(($B$4:AK$4&gt;=C$4-TeamStd_Duration+1)*($B$4:AK$4&lt;=C$4),$B$7:AK$7)</f>
        <v/>
      </c>
      <c r="D11" s="15">
        <f>SUMPRODUCT(($B$4:AK$4&gt;=D$4-TeamStd_Duration+1)*($B$4:AK$4&lt;=D$4),$B$7:AK$7)</f>
        <v/>
      </c>
      <c r="E11" s="15">
        <f>SUMPRODUCT(($B$4:AK$4&gt;=E$4-TeamStd_Duration+1)*($B$4:AK$4&lt;=E$4),$B$7:AK$7)</f>
        <v/>
      </c>
      <c r="F11" s="15">
        <f>SUMPRODUCT(($B$4:AK$4&gt;=F$4-TeamStd_Duration+1)*($B$4:AK$4&lt;=F$4),$B$7:AK$7)</f>
        <v/>
      </c>
      <c r="G11" s="15">
        <f>SUMPRODUCT(($B$4:AK$4&gt;=G$4-TeamStd_Duration+1)*($B$4:AK$4&lt;=G$4),$B$7:AK$7)</f>
        <v/>
      </c>
      <c r="H11" s="15">
        <f>SUMPRODUCT(($B$4:AK$4&gt;=H$4-TeamStd_Duration+1)*($B$4:AK$4&lt;=H$4),$B$7:AK$7)</f>
        <v/>
      </c>
      <c r="I11" s="15">
        <f>SUMPRODUCT(($B$4:AK$4&gt;=I$4-TeamStd_Duration+1)*($B$4:AK$4&lt;=I$4),$B$7:AK$7)</f>
        <v/>
      </c>
      <c r="J11" s="15">
        <f>SUMPRODUCT(($B$4:AK$4&gt;=J$4-TeamStd_Duration+1)*($B$4:AK$4&lt;=J$4),$B$7:AK$7)</f>
        <v/>
      </c>
      <c r="K11" s="15">
        <f>SUMPRODUCT(($B$4:AK$4&gt;=K$4-TeamStd_Duration+1)*($B$4:AK$4&lt;=K$4),$B$7:AK$7)</f>
        <v/>
      </c>
      <c r="L11" s="15">
        <f>SUMPRODUCT(($B$4:AK$4&gt;=L$4-TeamStd_Duration+1)*($B$4:AK$4&lt;=L$4),$B$7:AK$7)</f>
        <v/>
      </c>
      <c r="M11" s="15">
        <f>SUMPRODUCT(($B$4:AK$4&gt;=M$4-TeamStd_Duration+1)*($B$4:AK$4&lt;=M$4),$B$7:AK$7)</f>
        <v/>
      </c>
      <c r="N11" s="15">
        <f>SUMPRODUCT(($B$4:AK$4&gt;=N$4-TeamStd_Duration+1)*($B$4:AK$4&lt;=N$4),$B$7:AK$7)</f>
        <v/>
      </c>
      <c r="O11" s="15">
        <f>SUMPRODUCT(($B$4:AK$4&gt;=O$4-TeamStd_Duration+1)*($B$4:AK$4&lt;=O$4),$B$7:AK$7)</f>
        <v/>
      </c>
      <c r="P11" s="15">
        <f>SUMPRODUCT(($B$4:AK$4&gt;=P$4-TeamStd_Duration+1)*($B$4:AK$4&lt;=P$4),$B$7:AK$7)</f>
        <v/>
      </c>
      <c r="Q11" s="15">
        <f>SUMPRODUCT(($B$4:AK$4&gt;=Q$4-TeamStd_Duration+1)*($B$4:AK$4&lt;=Q$4),$B$7:AK$7)</f>
        <v/>
      </c>
      <c r="R11" s="15">
        <f>SUMPRODUCT(($B$4:AK$4&gt;=R$4-TeamStd_Duration+1)*($B$4:AK$4&lt;=R$4),$B$7:AK$7)</f>
        <v/>
      </c>
      <c r="S11" s="15">
        <f>SUMPRODUCT(($B$4:AK$4&gt;=S$4-TeamStd_Duration+1)*($B$4:AK$4&lt;=S$4),$B$7:AK$7)</f>
        <v/>
      </c>
      <c r="T11" s="15">
        <f>SUMPRODUCT(($B$4:AK$4&gt;=T$4-TeamStd_Duration+1)*($B$4:AK$4&lt;=T$4),$B$7:AK$7)</f>
        <v/>
      </c>
      <c r="U11" s="15">
        <f>SUMPRODUCT(($B$4:AK$4&gt;=U$4-TeamStd_Duration+1)*($B$4:AK$4&lt;=U$4),$B$7:AK$7)</f>
        <v/>
      </c>
      <c r="V11" s="15">
        <f>SUMPRODUCT(($B$4:AK$4&gt;=V$4-TeamStd_Duration+1)*($B$4:AK$4&lt;=V$4),$B$7:AK$7)</f>
        <v/>
      </c>
      <c r="W11" s="15">
        <f>SUMPRODUCT(($B$4:AK$4&gt;=W$4-TeamStd_Duration+1)*($B$4:AK$4&lt;=W$4),$B$7:AK$7)</f>
        <v/>
      </c>
      <c r="X11" s="15">
        <f>SUMPRODUCT(($B$4:AK$4&gt;=X$4-TeamStd_Duration+1)*($B$4:AK$4&lt;=X$4),$B$7:AK$7)</f>
        <v/>
      </c>
      <c r="Y11" s="15">
        <f>SUMPRODUCT(($B$4:AK$4&gt;=Y$4-TeamStd_Duration+1)*($B$4:AK$4&lt;=Y$4),$B$7:AK$7)</f>
        <v/>
      </c>
      <c r="Z11" s="15">
        <f>SUMPRODUCT(($B$4:AK$4&gt;=Z$4-TeamStd_Duration+1)*($B$4:AK$4&lt;=Z$4),$B$7:AK$7)</f>
        <v/>
      </c>
      <c r="AA11" s="15">
        <f>SUMPRODUCT(($B$4:AK$4&gt;=AA$4-TeamStd_Duration+1)*($B$4:AK$4&lt;=AA$4),$B$7:AK$7)</f>
        <v/>
      </c>
      <c r="AB11" s="15">
        <f>SUMPRODUCT(($B$4:AK$4&gt;=AB$4-TeamStd_Duration+1)*($B$4:AK$4&lt;=AB$4),$B$7:AK$7)</f>
        <v/>
      </c>
      <c r="AC11" s="15">
        <f>SUMPRODUCT(($B$4:AK$4&gt;=AC$4-TeamStd_Duration+1)*($B$4:AK$4&lt;=AC$4),$B$7:AK$7)</f>
        <v/>
      </c>
      <c r="AD11" s="15">
        <f>SUMPRODUCT(($B$4:AK$4&gt;=AD$4-TeamStd_Duration+1)*($B$4:AK$4&lt;=AD$4),$B$7:AK$7)</f>
        <v/>
      </c>
      <c r="AE11" s="15">
        <f>SUMPRODUCT(($B$4:AK$4&gt;=AE$4-TeamStd_Duration+1)*($B$4:AK$4&lt;=AE$4),$B$7:AK$7)</f>
        <v/>
      </c>
      <c r="AF11" s="15">
        <f>SUMPRODUCT(($B$4:AK$4&gt;=AF$4-TeamStd_Duration+1)*($B$4:AK$4&lt;=AF$4),$B$7:AK$7)</f>
        <v/>
      </c>
      <c r="AG11" s="15">
        <f>SUMPRODUCT(($B$4:AK$4&gt;=AG$4-TeamStd_Duration+1)*($B$4:AK$4&lt;=AG$4),$B$7:AK$7)</f>
        <v/>
      </c>
      <c r="AH11" s="15">
        <f>SUMPRODUCT(($B$4:AK$4&gt;=AH$4-TeamStd_Duration+1)*($B$4:AK$4&lt;=AH$4),$B$7:AK$7)</f>
        <v/>
      </c>
      <c r="AI11" s="15">
        <f>SUMPRODUCT(($B$4:AK$4&gt;=AI$4-TeamStd_Duration+1)*($B$4:AK$4&lt;=AI$4),$B$7:AK$7)</f>
        <v/>
      </c>
      <c r="AJ11" s="15">
        <f>SUMPRODUCT(($B$4:AK$4&gt;=AJ$4-TeamStd_Duration+1)*($B$4:AK$4&lt;=AJ$4),$B$7:AK$7)</f>
        <v/>
      </c>
      <c r="AK11" s="15">
        <f>SUMPRODUCT(($B$4:AK$4&gt;=AK$4-TeamStd_Duration+1)*($B$4:AK$4&lt;=AK$4),$B$7:AK$7)</f>
        <v/>
      </c>
    </row>
    <row r="12" ht="20" customHeight="1">
      <c r="A12" s="3" t="inlineStr">
        <is>
          <t>アクティブ：ライトニング（1ヶ月）</t>
        </is>
      </c>
      <c r="B12" s="15">
        <f>SUMPRODUCT(($B$4:AK$4&gt;=B$4-Lightning_Duration+1)*($B$4:AK$4&lt;=B$4),$B$8:AK$8)</f>
        <v/>
      </c>
      <c r="C12" s="15">
        <f>SUMPRODUCT(($B$4:AK$4&gt;=C$4-Lightning_Duration+1)*($B$4:AK$4&lt;=C$4),$B$8:AK$8)</f>
        <v/>
      </c>
      <c r="D12" s="15">
        <f>SUMPRODUCT(($B$4:AK$4&gt;=D$4-Lightning_Duration+1)*($B$4:AK$4&lt;=D$4),$B$8:AK$8)</f>
        <v/>
      </c>
      <c r="E12" s="15">
        <f>SUMPRODUCT(($B$4:AK$4&gt;=E$4-Lightning_Duration+1)*($B$4:AK$4&lt;=E$4),$B$8:AK$8)</f>
        <v/>
      </c>
      <c r="F12" s="15">
        <f>SUMPRODUCT(($B$4:AK$4&gt;=F$4-Lightning_Duration+1)*($B$4:AK$4&lt;=F$4),$B$8:AK$8)</f>
        <v/>
      </c>
      <c r="G12" s="15">
        <f>SUMPRODUCT(($B$4:AK$4&gt;=G$4-Lightning_Duration+1)*($B$4:AK$4&lt;=G$4),$B$8:AK$8)</f>
        <v/>
      </c>
      <c r="H12" s="15">
        <f>SUMPRODUCT(($B$4:AK$4&gt;=H$4-Lightning_Duration+1)*($B$4:AK$4&lt;=H$4),$B$8:AK$8)</f>
        <v/>
      </c>
      <c r="I12" s="15">
        <f>SUMPRODUCT(($B$4:AK$4&gt;=I$4-Lightning_Duration+1)*($B$4:AK$4&lt;=I$4),$B$8:AK$8)</f>
        <v/>
      </c>
      <c r="J12" s="15">
        <f>SUMPRODUCT(($B$4:AK$4&gt;=J$4-Lightning_Duration+1)*($B$4:AK$4&lt;=J$4),$B$8:AK$8)</f>
        <v/>
      </c>
      <c r="K12" s="15">
        <f>SUMPRODUCT(($B$4:AK$4&gt;=K$4-Lightning_Duration+1)*($B$4:AK$4&lt;=K$4),$B$8:AK$8)</f>
        <v/>
      </c>
      <c r="L12" s="15">
        <f>SUMPRODUCT(($B$4:AK$4&gt;=L$4-Lightning_Duration+1)*($B$4:AK$4&lt;=L$4),$B$8:AK$8)</f>
        <v/>
      </c>
      <c r="M12" s="15">
        <f>SUMPRODUCT(($B$4:AK$4&gt;=M$4-Lightning_Duration+1)*($B$4:AK$4&lt;=M$4),$B$8:AK$8)</f>
        <v/>
      </c>
      <c r="N12" s="15">
        <f>SUMPRODUCT(($B$4:AK$4&gt;=N$4-Lightning_Duration+1)*($B$4:AK$4&lt;=N$4),$B$8:AK$8)</f>
        <v/>
      </c>
      <c r="O12" s="15">
        <f>SUMPRODUCT(($B$4:AK$4&gt;=O$4-Lightning_Duration+1)*($B$4:AK$4&lt;=O$4),$B$8:AK$8)</f>
        <v/>
      </c>
      <c r="P12" s="15">
        <f>SUMPRODUCT(($B$4:AK$4&gt;=P$4-Lightning_Duration+1)*($B$4:AK$4&lt;=P$4),$B$8:AK$8)</f>
        <v/>
      </c>
      <c r="Q12" s="15">
        <f>SUMPRODUCT(($B$4:AK$4&gt;=Q$4-Lightning_Duration+1)*($B$4:AK$4&lt;=Q$4),$B$8:AK$8)</f>
        <v/>
      </c>
      <c r="R12" s="15">
        <f>SUMPRODUCT(($B$4:AK$4&gt;=R$4-Lightning_Duration+1)*($B$4:AK$4&lt;=R$4),$B$8:AK$8)</f>
        <v/>
      </c>
      <c r="S12" s="15">
        <f>SUMPRODUCT(($B$4:AK$4&gt;=S$4-Lightning_Duration+1)*($B$4:AK$4&lt;=S$4),$B$8:AK$8)</f>
        <v/>
      </c>
      <c r="T12" s="15">
        <f>SUMPRODUCT(($B$4:AK$4&gt;=T$4-Lightning_Duration+1)*($B$4:AK$4&lt;=T$4),$B$8:AK$8)</f>
        <v/>
      </c>
      <c r="U12" s="15">
        <f>SUMPRODUCT(($B$4:AK$4&gt;=U$4-Lightning_Duration+1)*($B$4:AK$4&lt;=U$4),$B$8:AK$8)</f>
        <v/>
      </c>
      <c r="V12" s="15">
        <f>SUMPRODUCT(($B$4:AK$4&gt;=V$4-Lightning_Duration+1)*($B$4:AK$4&lt;=V$4),$B$8:AK$8)</f>
        <v/>
      </c>
      <c r="W12" s="15">
        <f>SUMPRODUCT(($B$4:AK$4&gt;=W$4-Lightning_Duration+1)*($B$4:AK$4&lt;=W$4),$B$8:AK$8)</f>
        <v/>
      </c>
      <c r="X12" s="15">
        <f>SUMPRODUCT(($B$4:AK$4&gt;=X$4-Lightning_Duration+1)*($B$4:AK$4&lt;=X$4),$B$8:AK$8)</f>
        <v/>
      </c>
      <c r="Y12" s="15">
        <f>SUMPRODUCT(($B$4:AK$4&gt;=Y$4-Lightning_Duration+1)*($B$4:AK$4&lt;=Y$4),$B$8:AK$8)</f>
        <v/>
      </c>
      <c r="Z12" s="15">
        <f>SUMPRODUCT(($B$4:AK$4&gt;=Z$4-Lightning_Duration+1)*($B$4:AK$4&lt;=Z$4),$B$8:AK$8)</f>
        <v/>
      </c>
      <c r="AA12" s="15">
        <f>SUMPRODUCT(($B$4:AK$4&gt;=AA$4-Lightning_Duration+1)*($B$4:AK$4&lt;=AA$4),$B$8:AK$8)</f>
        <v/>
      </c>
      <c r="AB12" s="15">
        <f>SUMPRODUCT(($B$4:AK$4&gt;=AB$4-Lightning_Duration+1)*($B$4:AK$4&lt;=AB$4),$B$8:AK$8)</f>
        <v/>
      </c>
      <c r="AC12" s="15">
        <f>SUMPRODUCT(($B$4:AK$4&gt;=AC$4-Lightning_Duration+1)*($B$4:AK$4&lt;=AC$4),$B$8:AK$8)</f>
        <v/>
      </c>
      <c r="AD12" s="15">
        <f>SUMPRODUCT(($B$4:AK$4&gt;=AD$4-Lightning_Duration+1)*($B$4:AK$4&lt;=AD$4),$B$8:AK$8)</f>
        <v/>
      </c>
      <c r="AE12" s="15">
        <f>SUMPRODUCT(($B$4:AK$4&gt;=AE$4-Lightning_Duration+1)*($B$4:AK$4&lt;=AE$4),$B$8:AK$8)</f>
        <v/>
      </c>
      <c r="AF12" s="15">
        <f>SUMPRODUCT(($B$4:AK$4&gt;=AF$4-Lightning_Duration+1)*($B$4:AK$4&lt;=AF$4),$B$8:AK$8)</f>
        <v/>
      </c>
      <c r="AG12" s="15">
        <f>SUMPRODUCT(($B$4:AK$4&gt;=AG$4-Lightning_Duration+1)*($B$4:AK$4&lt;=AG$4),$B$8:AK$8)</f>
        <v/>
      </c>
      <c r="AH12" s="15">
        <f>SUMPRODUCT(($B$4:AK$4&gt;=AH$4-Lightning_Duration+1)*($B$4:AK$4&lt;=AH$4),$B$8:AK$8)</f>
        <v/>
      </c>
      <c r="AI12" s="15">
        <f>SUMPRODUCT(($B$4:AK$4&gt;=AI$4-Lightning_Duration+1)*($B$4:AK$4&lt;=AI$4),$B$8:AK$8)</f>
        <v/>
      </c>
      <c r="AJ12" s="15">
        <f>SUMPRODUCT(($B$4:AK$4&gt;=AJ$4-Lightning_Duration+1)*($B$4:AK$4&lt;=AJ$4),$B$8:AK$8)</f>
        <v/>
      </c>
      <c r="AK12" s="15">
        <f>SUMPRODUCT(($B$4:AK$4&gt;=AK$4-Lightning_Duration+1)*($B$4:AK$4&lt;=AK$4),$B$8:AK$8)</f>
        <v/>
      </c>
    </row>
    <row r="13" ht="20" customHeight="1">
      <c r="A13" s="3" t="inlineStr">
        <is>
          <t>アクティブ：生成AI研修</t>
        </is>
      </c>
      <c r="B13" s="15">
        <f>SUMPRODUCT(($B$4:AK$4&gt;=B$4-Training_Duration+1)*($B$4:AK$4&lt;=B$4),$B$9:AK$9)</f>
        <v/>
      </c>
      <c r="C13" s="15">
        <f>SUMPRODUCT(($B$4:AK$4&gt;=C$4-Training_Duration+1)*($B$4:AK$4&lt;=C$4),$B$9:AK$9)</f>
        <v/>
      </c>
      <c r="D13" s="15">
        <f>SUMPRODUCT(($B$4:AK$4&gt;=D$4-Training_Duration+1)*($B$4:AK$4&lt;=D$4),$B$9:AK$9)</f>
        <v/>
      </c>
      <c r="E13" s="15">
        <f>SUMPRODUCT(($B$4:AK$4&gt;=E$4-Training_Duration+1)*($B$4:AK$4&lt;=E$4),$B$9:AK$9)</f>
        <v/>
      </c>
      <c r="F13" s="15">
        <f>SUMPRODUCT(($B$4:AK$4&gt;=F$4-Training_Duration+1)*($B$4:AK$4&lt;=F$4),$B$9:AK$9)</f>
        <v/>
      </c>
      <c r="G13" s="15">
        <f>SUMPRODUCT(($B$4:AK$4&gt;=G$4-Training_Duration+1)*($B$4:AK$4&lt;=G$4),$B$9:AK$9)</f>
        <v/>
      </c>
      <c r="H13" s="15">
        <f>SUMPRODUCT(($B$4:AK$4&gt;=H$4-Training_Duration+1)*($B$4:AK$4&lt;=H$4),$B$9:AK$9)</f>
        <v/>
      </c>
      <c r="I13" s="15">
        <f>SUMPRODUCT(($B$4:AK$4&gt;=I$4-Training_Duration+1)*($B$4:AK$4&lt;=I$4),$B$9:AK$9)</f>
        <v/>
      </c>
      <c r="J13" s="15">
        <f>SUMPRODUCT(($B$4:AK$4&gt;=J$4-Training_Duration+1)*($B$4:AK$4&lt;=J$4),$B$9:AK$9)</f>
        <v/>
      </c>
      <c r="K13" s="15">
        <f>SUMPRODUCT(($B$4:AK$4&gt;=K$4-Training_Duration+1)*($B$4:AK$4&lt;=K$4),$B$9:AK$9)</f>
        <v/>
      </c>
      <c r="L13" s="15">
        <f>SUMPRODUCT(($B$4:AK$4&gt;=L$4-Training_Duration+1)*($B$4:AK$4&lt;=L$4),$B$9:AK$9)</f>
        <v/>
      </c>
      <c r="M13" s="15">
        <f>SUMPRODUCT(($B$4:AK$4&gt;=M$4-Training_Duration+1)*($B$4:AK$4&lt;=M$4),$B$9:AK$9)</f>
        <v/>
      </c>
      <c r="N13" s="15">
        <f>SUMPRODUCT(($B$4:AK$4&gt;=N$4-Training_Duration+1)*($B$4:AK$4&lt;=N$4),$B$9:AK$9)</f>
        <v/>
      </c>
      <c r="O13" s="15">
        <f>SUMPRODUCT(($B$4:AK$4&gt;=O$4-Training_Duration+1)*($B$4:AK$4&lt;=O$4),$B$9:AK$9)</f>
        <v/>
      </c>
      <c r="P13" s="15">
        <f>SUMPRODUCT(($B$4:AK$4&gt;=P$4-Training_Duration+1)*($B$4:AK$4&lt;=P$4),$B$9:AK$9)</f>
        <v/>
      </c>
      <c r="Q13" s="15">
        <f>SUMPRODUCT(($B$4:AK$4&gt;=Q$4-Training_Duration+1)*($B$4:AK$4&lt;=Q$4),$B$9:AK$9)</f>
        <v/>
      </c>
      <c r="R13" s="15">
        <f>SUMPRODUCT(($B$4:AK$4&gt;=R$4-Training_Duration+1)*($B$4:AK$4&lt;=R$4),$B$9:AK$9)</f>
        <v/>
      </c>
      <c r="S13" s="15">
        <f>SUMPRODUCT(($B$4:AK$4&gt;=S$4-Training_Duration+1)*($B$4:AK$4&lt;=S$4),$B$9:AK$9)</f>
        <v/>
      </c>
      <c r="T13" s="15">
        <f>SUMPRODUCT(($B$4:AK$4&gt;=T$4-Training_Duration+1)*($B$4:AK$4&lt;=T$4),$B$9:AK$9)</f>
        <v/>
      </c>
      <c r="U13" s="15">
        <f>SUMPRODUCT(($B$4:AK$4&gt;=U$4-Training_Duration+1)*($B$4:AK$4&lt;=U$4),$B$9:AK$9)</f>
        <v/>
      </c>
      <c r="V13" s="15">
        <f>SUMPRODUCT(($B$4:AK$4&gt;=V$4-Training_Duration+1)*($B$4:AK$4&lt;=V$4),$B$9:AK$9)</f>
        <v/>
      </c>
      <c r="W13" s="15">
        <f>SUMPRODUCT(($B$4:AK$4&gt;=W$4-Training_Duration+1)*($B$4:AK$4&lt;=W$4),$B$9:AK$9)</f>
        <v/>
      </c>
      <c r="X13" s="15">
        <f>SUMPRODUCT(($B$4:AK$4&gt;=X$4-Training_Duration+1)*($B$4:AK$4&lt;=X$4),$B$9:AK$9)</f>
        <v/>
      </c>
      <c r="Y13" s="15">
        <f>SUMPRODUCT(($B$4:AK$4&gt;=Y$4-Training_Duration+1)*($B$4:AK$4&lt;=Y$4),$B$9:AK$9)</f>
        <v/>
      </c>
      <c r="Z13" s="15">
        <f>SUMPRODUCT(($B$4:AK$4&gt;=Z$4-Training_Duration+1)*($B$4:AK$4&lt;=Z$4),$B$9:AK$9)</f>
        <v/>
      </c>
      <c r="AA13" s="15">
        <f>SUMPRODUCT(($B$4:AK$4&gt;=AA$4-Training_Duration+1)*($B$4:AK$4&lt;=AA$4),$B$9:AK$9)</f>
        <v/>
      </c>
      <c r="AB13" s="15">
        <f>SUMPRODUCT(($B$4:AK$4&gt;=AB$4-Training_Duration+1)*($B$4:AK$4&lt;=AB$4),$B$9:AK$9)</f>
        <v/>
      </c>
      <c r="AC13" s="15">
        <f>SUMPRODUCT(($B$4:AK$4&gt;=AC$4-Training_Duration+1)*($B$4:AK$4&lt;=AC$4),$B$9:AK$9)</f>
        <v/>
      </c>
      <c r="AD13" s="15">
        <f>SUMPRODUCT(($B$4:AK$4&gt;=AD$4-Training_Duration+1)*($B$4:AK$4&lt;=AD$4),$B$9:AK$9)</f>
        <v/>
      </c>
      <c r="AE13" s="15">
        <f>SUMPRODUCT(($B$4:AK$4&gt;=AE$4-Training_Duration+1)*($B$4:AK$4&lt;=AE$4),$B$9:AK$9)</f>
        <v/>
      </c>
      <c r="AF13" s="15">
        <f>SUMPRODUCT(($B$4:AK$4&gt;=AF$4-Training_Duration+1)*($B$4:AK$4&lt;=AF$4),$B$9:AK$9)</f>
        <v/>
      </c>
      <c r="AG13" s="15">
        <f>SUMPRODUCT(($B$4:AK$4&gt;=AG$4-Training_Duration+1)*($B$4:AK$4&lt;=AG$4),$B$9:AK$9)</f>
        <v/>
      </c>
      <c r="AH13" s="15">
        <f>SUMPRODUCT(($B$4:AK$4&gt;=AH$4-Training_Duration+1)*($B$4:AK$4&lt;=AH$4),$B$9:AK$9)</f>
        <v/>
      </c>
      <c r="AI13" s="15">
        <f>SUMPRODUCT(($B$4:AK$4&gt;=AI$4-Training_Duration+1)*($B$4:AK$4&lt;=AI$4),$B$9:AK$9)</f>
        <v/>
      </c>
      <c r="AJ13" s="15">
        <f>SUMPRODUCT(($B$4:AK$4&gt;=AJ$4-Training_Duration+1)*($B$4:AK$4&lt;=AJ$4),$B$9:AK$9)</f>
        <v/>
      </c>
      <c r="AK13" s="15">
        <f>SUMPRODUCT(($B$4:AK$4&gt;=AK$4-Training_Duration+1)*($B$4:AK$4&lt;=AK$4),$B$9:AK$9)</f>
        <v/>
      </c>
    </row>
    <row r="15" ht="20" customHeight="1">
      <c r="A15" s="5" t="inlineStr">
        <is>
          <t>計算：月次売上（収益認識）</t>
        </is>
      </c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5" t="n"/>
    </row>
    <row r="16" ht="20" customHeight="1">
      <c r="A16" s="3" t="inlineStr">
        <is>
          <t>売上：AIチーム開発（標準）</t>
        </is>
      </c>
      <c r="B16" s="14">
        <f>B$11*(TeamStd_Price/TeamStd_Duration)</f>
        <v/>
      </c>
      <c r="C16" s="14">
        <f>C$11*(TeamStd_Price/TeamStd_Duration)</f>
        <v/>
      </c>
      <c r="D16" s="14">
        <f>D$11*(TeamStd_Price/TeamStd_Duration)</f>
        <v/>
      </c>
      <c r="E16" s="14">
        <f>E$11*(TeamStd_Price/TeamStd_Duration)</f>
        <v/>
      </c>
      <c r="F16" s="14">
        <f>F$11*(TeamStd_Price/TeamStd_Duration)</f>
        <v/>
      </c>
      <c r="G16" s="14">
        <f>G$11*(TeamStd_Price/TeamStd_Duration)</f>
        <v/>
      </c>
      <c r="H16" s="14">
        <f>H$11*(TeamStd_Price/TeamStd_Duration)</f>
        <v/>
      </c>
      <c r="I16" s="14">
        <f>I$11*(TeamStd_Price/TeamStd_Duration)</f>
        <v/>
      </c>
      <c r="J16" s="14">
        <f>J$11*(TeamStd_Price/TeamStd_Duration)</f>
        <v/>
      </c>
      <c r="K16" s="14">
        <f>K$11*(TeamStd_Price/TeamStd_Duration)</f>
        <v/>
      </c>
      <c r="L16" s="14">
        <f>L$11*(TeamStd_Price/TeamStd_Duration)</f>
        <v/>
      </c>
      <c r="M16" s="14">
        <f>M$11*(TeamStd_Price/TeamStd_Duration)</f>
        <v/>
      </c>
      <c r="N16" s="14">
        <f>N$11*(TeamStd_Price/TeamStd_Duration)</f>
        <v/>
      </c>
      <c r="O16" s="14">
        <f>O$11*(TeamStd_Price/TeamStd_Duration)</f>
        <v/>
      </c>
      <c r="P16" s="14">
        <f>P$11*(TeamStd_Price/TeamStd_Duration)</f>
        <v/>
      </c>
      <c r="Q16" s="14">
        <f>Q$11*(TeamStd_Price/TeamStd_Duration)</f>
        <v/>
      </c>
      <c r="R16" s="14">
        <f>R$11*(TeamStd_Price/TeamStd_Duration)</f>
        <v/>
      </c>
      <c r="S16" s="14">
        <f>S$11*(TeamStd_Price/TeamStd_Duration)</f>
        <v/>
      </c>
      <c r="T16" s="14">
        <f>T$11*(TeamStd_Price/TeamStd_Duration)</f>
        <v/>
      </c>
      <c r="U16" s="14">
        <f>U$11*(TeamStd_Price/TeamStd_Duration)</f>
        <v/>
      </c>
      <c r="V16" s="14">
        <f>V$11*(TeamStd_Price/TeamStd_Duration)</f>
        <v/>
      </c>
      <c r="W16" s="14">
        <f>W$11*(TeamStd_Price/TeamStd_Duration)</f>
        <v/>
      </c>
      <c r="X16" s="14">
        <f>X$11*(TeamStd_Price/TeamStd_Duration)</f>
        <v/>
      </c>
      <c r="Y16" s="14">
        <f>Y$11*(TeamStd_Price/TeamStd_Duration)</f>
        <v/>
      </c>
      <c r="Z16" s="14">
        <f>Z$11*(TeamStd_Price/TeamStd_Duration)</f>
        <v/>
      </c>
      <c r="AA16" s="14">
        <f>AA$11*(TeamStd_Price/TeamStd_Duration)</f>
        <v/>
      </c>
      <c r="AB16" s="14">
        <f>AB$11*(TeamStd_Price/TeamStd_Duration)</f>
        <v/>
      </c>
      <c r="AC16" s="14">
        <f>AC$11*(TeamStd_Price/TeamStd_Duration)</f>
        <v/>
      </c>
      <c r="AD16" s="14">
        <f>AD$11*(TeamStd_Price/TeamStd_Duration)</f>
        <v/>
      </c>
      <c r="AE16" s="14">
        <f>AE$11*(TeamStd_Price/TeamStd_Duration)</f>
        <v/>
      </c>
      <c r="AF16" s="14">
        <f>AF$11*(TeamStd_Price/TeamStd_Duration)</f>
        <v/>
      </c>
      <c r="AG16" s="14">
        <f>AG$11*(TeamStd_Price/TeamStd_Duration)</f>
        <v/>
      </c>
      <c r="AH16" s="14">
        <f>AH$11*(TeamStd_Price/TeamStd_Duration)</f>
        <v/>
      </c>
      <c r="AI16" s="14">
        <f>AI$11*(TeamStd_Price/TeamStd_Duration)</f>
        <v/>
      </c>
      <c r="AJ16" s="14">
        <f>AJ$11*(TeamStd_Price/TeamStd_Duration)</f>
        <v/>
      </c>
      <c r="AK16" s="14">
        <f>AK$11*(TeamStd_Price/TeamStd_Duration)</f>
        <v/>
      </c>
    </row>
    <row r="17" ht="20" customHeight="1">
      <c r="A17" s="3" t="inlineStr">
        <is>
          <t>売上：ライトニング（1ヶ月）</t>
        </is>
      </c>
      <c r="B17" s="14">
        <f>B$12*(Lightning_Price/Lightning_Duration)</f>
        <v/>
      </c>
      <c r="C17" s="14">
        <f>C$12*(Lightning_Price/Lightning_Duration)</f>
        <v/>
      </c>
      <c r="D17" s="14">
        <f>D$12*(Lightning_Price/Lightning_Duration)</f>
        <v/>
      </c>
      <c r="E17" s="14">
        <f>E$12*(Lightning_Price/Lightning_Duration)</f>
        <v/>
      </c>
      <c r="F17" s="14">
        <f>F$12*(Lightning_Price/Lightning_Duration)</f>
        <v/>
      </c>
      <c r="G17" s="14">
        <f>G$12*(Lightning_Price/Lightning_Duration)</f>
        <v/>
      </c>
      <c r="H17" s="14">
        <f>H$12*(Lightning_Price/Lightning_Duration)</f>
        <v/>
      </c>
      <c r="I17" s="14">
        <f>I$12*(Lightning_Price/Lightning_Duration)</f>
        <v/>
      </c>
      <c r="J17" s="14">
        <f>J$12*(Lightning_Price/Lightning_Duration)</f>
        <v/>
      </c>
      <c r="K17" s="14">
        <f>K$12*(Lightning_Price/Lightning_Duration)</f>
        <v/>
      </c>
      <c r="L17" s="14">
        <f>L$12*(Lightning_Price/Lightning_Duration)</f>
        <v/>
      </c>
      <c r="M17" s="14">
        <f>M$12*(Lightning_Price/Lightning_Duration)</f>
        <v/>
      </c>
      <c r="N17" s="14">
        <f>N$12*(Lightning_Price/Lightning_Duration)</f>
        <v/>
      </c>
      <c r="O17" s="14">
        <f>O$12*(Lightning_Price/Lightning_Duration)</f>
        <v/>
      </c>
      <c r="P17" s="14">
        <f>P$12*(Lightning_Price/Lightning_Duration)</f>
        <v/>
      </c>
      <c r="Q17" s="14">
        <f>Q$12*(Lightning_Price/Lightning_Duration)</f>
        <v/>
      </c>
      <c r="R17" s="14">
        <f>R$12*(Lightning_Price/Lightning_Duration)</f>
        <v/>
      </c>
      <c r="S17" s="14">
        <f>S$12*(Lightning_Price/Lightning_Duration)</f>
        <v/>
      </c>
      <c r="T17" s="14">
        <f>T$12*(Lightning_Price/Lightning_Duration)</f>
        <v/>
      </c>
      <c r="U17" s="14">
        <f>U$12*(Lightning_Price/Lightning_Duration)</f>
        <v/>
      </c>
      <c r="V17" s="14">
        <f>V$12*(Lightning_Price/Lightning_Duration)</f>
        <v/>
      </c>
      <c r="W17" s="14">
        <f>W$12*(Lightning_Price/Lightning_Duration)</f>
        <v/>
      </c>
      <c r="X17" s="14">
        <f>X$12*(Lightning_Price/Lightning_Duration)</f>
        <v/>
      </c>
      <c r="Y17" s="14">
        <f>Y$12*(Lightning_Price/Lightning_Duration)</f>
        <v/>
      </c>
      <c r="Z17" s="14">
        <f>Z$12*(Lightning_Price/Lightning_Duration)</f>
        <v/>
      </c>
      <c r="AA17" s="14">
        <f>AA$12*(Lightning_Price/Lightning_Duration)</f>
        <v/>
      </c>
      <c r="AB17" s="14">
        <f>AB$12*(Lightning_Price/Lightning_Duration)</f>
        <v/>
      </c>
      <c r="AC17" s="14">
        <f>AC$12*(Lightning_Price/Lightning_Duration)</f>
        <v/>
      </c>
      <c r="AD17" s="14">
        <f>AD$12*(Lightning_Price/Lightning_Duration)</f>
        <v/>
      </c>
      <c r="AE17" s="14">
        <f>AE$12*(Lightning_Price/Lightning_Duration)</f>
        <v/>
      </c>
      <c r="AF17" s="14">
        <f>AF$12*(Lightning_Price/Lightning_Duration)</f>
        <v/>
      </c>
      <c r="AG17" s="14">
        <f>AG$12*(Lightning_Price/Lightning_Duration)</f>
        <v/>
      </c>
      <c r="AH17" s="14">
        <f>AH$12*(Lightning_Price/Lightning_Duration)</f>
        <v/>
      </c>
      <c r="AI17" s="14">
        <f>AI$12*(Lightning_Price/Lightning_Duration)</f>
        <v/>
      </c>
      <c r="AJ17" s="14">
        <f>AJ$12*(Lightning_Price/Lightning_Duration)</f>
        <v/>
      </c>
      <c r="AK17" s="14">
        <f>AK$12*(Lightning_Price/Lightning_Duration)</f>
        <v/>
      </c>
    </row>
    <row r="18" ht="20" customHeight="1">
      <c r="A18" s="3" t="inlineStr">
        <is>
          <t>売上：生成AI研修</t>
        </is>
      </c>
      <c r="B18" s="14">
        <f>B$13*(Training_Price/Training_Duration)</f>
        <v/>
      </c>
      <c r="C18" s="14">
        <f>C$13*(Training_Price/Training_Duration)</f>
        <v/>
      </c>
      <c r="D18" s="14">
        <f>D$13*(Training_Price/Training_Duration)</f>
        <v/>
      </c>
      <c r="E18" s="14">
        <f>E$13*(Training_Price/Training_Duration)</f>
        <v/>
      </c>
      <c r="F18" s="14">
        <f>F$13*(Training_Price/Training_Duration)</f>
        <v/>
      </c>
      <c r="G18" s="14">
        <f>G$13*(Training_Price/Training_Duration)</f>
        <v/>
      </c>
      <c r="H18" s="14">
        <f>H$13*(Training_Price/Training_Duration)</f>
        <v/>
      </c>
      <c r="I18" s="14">
        <f>I$13*(Training_Price/Training_Duration)</f>
        <v/>
      </c>
      <c r="J18" s="14">
        <f>J$13*(Training_Price/Training_Duration)</f>
        <v/>
      </c>
      <c r="K18" s="14">
        <f>K$13*(Training_Price/Training_Duration)</f>
        <v/>
      </c>
      <c r="L18" s="14">
        <f>L$13*(Training_Price/Training_Duration)</f>
        <v/>
      </c>
      <c r="M18" s="14">
        <f>M$13*(Training_Price/Training_Duration)</f>
        <v/>
      </c>
      <c r="N18" s="14">
        <f>N$13*(Training_Price/Training_Duration)</f>
        <v/>
      </c>
      <c r="O18" s="14">
        <f>O$13*(Training_Price/Training_Duration)</f>
        <v/>
      </c>
      <c r="P18" s="14">
        <f>P$13*(Training_Price/Training_Duration)</f>
        <v/>
      </c>
      <c r="Q18" s="14">
        <f>Q$13*(Training_Price/Training_Duration)</f>
        <v/>
      </c>
      <c r="R18" s="14">
        <f>R$13*(Training_Price/Training_Duration)</f>
        <v/>
      </c>
      <c r="S18" s="14">
        <f>S$13*(Training_Price/Training_Duration)</f>
        <v/>
      </c>
      <c r="T18" s="14">
        <f>T$13*(Training_Price/Training_Duration)</f>
        <v/>
      </c>
      <c r="U18" s="14">
        <f>U$13*(Training_Price/Training_Duration)</f>
        <v/>
      </c>
      <c r="V18" s="14">
        <f>V$13*(Training_Price/Training_Duration)</f>
        <v/>
      </c>
      <c r="W18" s="14">
        <f>W$13*(Training_Price/Training_Duration)</f>
        <v/>
      </c>
      <c r="X18" s="14">
        <f>X$13*(Training_Price/Training_Duration)</f>
        <v/>
      </c>
      <c r="Y18" s="14">
        <f>Y$13*(Training_Price/Training_Duration)</f>
        <v/>
      </c>
      <c r="Z18" s="14">
        <f>Z$13*(Training_Price/Training_Duration)</f>
        <v/>
      </c>
      <c r="AA18" s="14">
        <f>AA$13*(Training_Price/Training_Duration)</f>
        <v/>
      </c>
      <c r="AB18" s="14">
        <f>AB$13*(Training_Price/Training_Duration)</f>
        <v/>
      </c>
      <c r="AC18" s="14">
        <f>AC$13*(Training_Price/Training_Duration)</f>
        <v/>
      </c>
      <c r="AD18" s="14">
        <f>AD$13*(Training_Price/Training_Duration)</f>
        <v/>
      </c>
      <c r="AE18" s="14">
        <f>AE$13*(Training_Price/Training_Duration)</f>
        <v/>
      </c>
      <c r="AF18" s="14">
        <f>AF$13*(Training_Price/Training_Duration)</f>
        <v/>
      </c>
      <c r="AG18" s="14">
        <f>AG$13*(Training_Price/Training_Duration)</f>
        <v/>
      </c>
      <c r="AH18" s="14">
        <f>AH$13*(Training_Price/Training_Duration)</f>
        <v/>
      </c>
      <c r="AI18" s="14">
        <f>AI$13*(Training_Price/Training_Duration)</f>
        <v/>
      </c>
      <c r="AJ18" s="14">
        <f>AJ$13*(Training_Price/Training_Duration)</f>
        <v/>
      </c>
      <c r="AK18" s="14">
        <f>AK$13*(Training_Price/Training_Duration)</f>
        <v/>
      </c>
    </row>
    <row r="19" ht="20" customHeight="1">
      <c r="A19" s="3" t="inlineStr">
        <is>
          <t>売上合計</t>
        </is>
      </c>
      <c r="B19" s="14">
        <f>SUM(B$16:B$18)</f>
        <v/>
      </c>
      <c r="C19" s="14">
        <f>SUM(C$16:C$18)</f>
        <v/>
      </c>
      <c r="D19" s="14">
        <f>SUM(D$16:D$18)</f>
        <v/>
      </c>
      <c r="E19" s="14">
        <f>SUM(E$16:E$18)</f>
        <v/>
      </c>
      <c r="F19" s="14">
        <f>SUM(F$16:F$18)</f>
        <v/>
      </c>
      <c r="G19" s="14">
        <f>SUM(G$16:G$18)</f>
        <v/>
      </c>
      <c r="H19" s="14">
        <f>SUM(H$16:H$18)</f>
        <v/>
      </c>
      <c r="I19" s="14">
        <f>SUM(I$16:I$18)</f>
        <v/>
      </c>
      <c r="J19" s="14">
        <f>SUM(J$16:J$18)</f>
        <v/>
      </c>
      <c r="K19" s="14">
        <f>SUM(K$16:K$18)</f>
        <v/>
      </c>
      <c r="L19" s="14">
        <f>SUM(L$16:L$18)</f>
        <v/>
      </c>
      <c r="M19" s="14">
        <f>SUM(M$16:M$18)</f>
        <v/>
      </c>
      <c r="N19" s="14">
        <f>SUM(N$16:N$18)</f>
        <v/>
      </c>
      <c r="O19" s="14">
        <f>SUM(O$16:O$18)</f>
        <v/>
      </c>
      <c r="P19" s="14">
        <f>SUM(P$16:P$18)</f>
        <v/>
      </c>
      <c r="Q19" s="14">
        <f>SUM(Q$16:Q$18)</f>
        <v/>
      </c>
      <c r="R19" s="14">
        <f>SUM(R$16:R$18)</f>
        <v/>
      </c>
      <c r="S19" s="14">
        <f>SUM(S$16:S$18)</f>
        <v/>
      </c>
      <c r="T19" s="14">
        <f>SUM(T$16:T$18)</f>
        <v/>
      </c>
      <c r="U19" s="14">
        <f>SUM(U$16:U$18)</f>
        <v/>
      </c>
      <c r="V19" s="14">
        <f>SUM(V$16:V$18)</f>
        <v/>
      </c>
      <c r="W19" s="14">
        <f>SUM(W$16:W$18)</f>
        <v/>
      </c>
      <c r="X19" s="14">
        <f>SUM(X$16:X$18)</f>
        <v/>
      </c>
      <c r="Y19" s="14">
        <f>SUM(Y$16:Y$18)</f>
        <v/>
      </c>
      <c r="Z19" s="14">
        <f>SUM(Z$16:Z$18)</f>
        <v/>
      </c>
      <c r="AA19" s="14">
        <f>SUM(AA$16:AA$18)</f>
        <v/>
      </c>
      <c r="AB19" s="14">
        <f>SUM(AB$16:AB$18)</f>
        <v/>
      </c>
      <c r="AC19" s="14">
        <f>SUM(AC$16:AC$18)</f>
        <v/>
      </c>
      <c r="AD19" s="14">
        <f>SUM(AD$16:AD$18)</f>
        <v/>
      </c>
      <c r="AE19" s="14">
        <f>SUM(AE$16:AE$18)</f>
        <v/>
      </c>
      <c r="AF19" s="14">
        <f>SUM(AF$16:AF$18)</f>
        <v/>
      </c>
      <c r="AG19" s="14">
        <f>SUM(AG$16:AG$18)</f>
        <v/>
      </c>
      <c r="AH19" s="14">
        <f>SUM(AH$16:AH$18)</f>
        <v/>
      </c>
      <c r="AI19" s="14">
        <f>SUM(AI$16:AI$18)</f>
        <v/>
      </c>
      <c r="AJ19" s="14">
        <f>SUM(AJ$16:AJ$18)</f>
        <v/>
      </c>
      <c r="AK19" s="14">
        <f>SUM(AK$16:AK$18)</f>
        <v/>
      </c>
    </row>
    <row r="21" ht="20" customHeight="1">
      <c r="A21" s="5" t="inlineStr">
        <is>
          <t>計算：入金（簡易）— 前受＋残額分割（概算）</t>
        </is>
      </c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  <c r="AA21" s="24" t="n"/>
      <c r="AB21" s="24" t="n"/>
      <c r="AC21" s="24" t="n"/>
      <c r="AD21" s="24" t="n"/>
      <c r="AE21" s="24" t="n"/>
      <c r="AF21" s="24" t="n"/>
      <c r="AG21" s="24" t="n"/>
      <c r="AH21" s="24" t="n"/>
      <c r="AI21" s="24" t="n"/>
      <c r="AJ21" s="24" t="n"/>
      <c r="AK21" s="24" t="n"/>
      <c r="AL21" s="25" t="n"/>
    </row>
    <row r="22" ht="20" customHeight="1">
      <c r="A22" s="3" t="inlineStr">
        <is>
          <t>入金：AIチーム開発（標準）</t>
        </is>
      </c>
      <c r="B22" s="14">
        <f>=(TeamStd_Price*Upfront_Pct)*SUMPRODUCT(($B$4:AK$4=B$4),$B$7:AK$7)+=(TeamStd_Price*(1-Upfront_Pct)/Collect_Months)*SUMPRODUCT(($B$4:AK$4&gt;=B$4-Collect_Months)*($B$4:AK$4&lt;B$4),$B$7:AK$7)</f>
        <v/>
      </c>
      <c r="C22" s="14">
        <f>=(TeamStd_Price*Upfront_Pct)*SUMPRODUCT(($B$4:AK$4=C$4),$B$7:AK$7)+=(TeamStd_Price*(1-Upfront_Pct)/Collect_Months)*SUMPRODUCT(($B$4:AK$4&gt;=C$4-Collect_Months)*($B$4:AK$4&lt;C$4),$B$7:AK$7)</f>
        <v/>
      </c>
      <c r="D22" s="14">
        <f>=(TeamStd_Price*Upfront_Pct)*SUMPRODUCT(($B$4:AK$4=D$4),$B$7:AK$7)+=(TeamStd_Price*(1-Upfront_Pct)/Collect_Months)*SUMPRODUCT(($B$4:AK$4&gt;=D$4-Collect_Months)*($B$4:AK$4&lt;D$4),$B$7:AK$7)</f>
        <v/>
      </c>
      <c r="E22" s="14">
        <f>=(TeamStd_Price*Upfront_Pct)*SUMPRODUCT(($B$4:AK$4=E$4),$B$7:AK$7)+=(TeamStd_Price*(1-Upfront_Pct)/Collect_Months)*SUMPRODUCT(($B$4:AK$4&gt;=E$4-Collect_Months)*($B$4:AK$4&lt;E$4),$B$7:AK$7)</f>
        <v/>
      </c>
      <c r="F22" s="14">
        <f>=(TeamStd_Price*Upfront_Pct)*SUMPRODUCT(($B$4:AK$4=F$4),$B$7:AK$7)+=(TeamStd_Price*(1-Upfront_Pct)/Collect_Months)*SUMPRODUCT(($B$4:AK$4&gt;=F$4-Collect_Months)*($B$4:AK$4&lt;F$4),$B$7:AK$7)</f>
        <v/>
      </c>
      <c r="G22" s="14">
        <f>=(TeamStd_Price*Upfront_Pct)*SUMPRODUCT(($B$4:AK$4=G$4),$B$7:AK$7)+=(TeamStd_Price*(1-Upfront_Pct)/Collect_Months)*SUMPRODUCT(($B$4:AK$4&gt;=G$4-Collect_Months)*($B$4:AK$4&lt;G$4),$B$7:AK$7)</f>
        <v/>
      </c>
      <c r="H22" s="14">
        <f>=(TeamStd_Price*Upfront_Pct)*SUMPRODUCT(($B$4:AK$4=H$4),$B$7:AK$7)+=(TeamStd_Price*(1-Upfront_Pct)/Collect_Months)*SUMPRODUCT(($B$4:AK$4&gt;=H$4-Collect_Months)*($B$4:AK$4&lt;H$4),$B$7:AK$7)</f>
        <v/>
      </c>
      <c r="I22" s="14">
        <f>=(TeamStd_Price*Upfront_Pct)*SUMPRODUCT(($B$4:AK$4=I$4),$B$7:AK$7)+=(TeamStd_Price*(1-Upfront_Pct)/Collect_Months)*SUMPRODUCT(($B$4:AK$4&gt;=I$4-Collect_Months)*($B$4:AK$4&lt;I$4),$B$7:AK$7)</f>
        <v/>
      </c>
      <c r="J22" s="14">
        <f>=(TeamStd_Price*Upfront_Pct)*SUMPRODUCT(($B$4:AK$4=J$4),$B$7:AK$7)+=(TeamStd_Price*(1-Upfront_Pct)/Collect_Months)*SUMPRODUCT(($B$4:AK$4&gt;=J$4-Collect_Months)*($B$4:AK$4&lt;J$4),$B$7:AK$7)</f>
        <v/>
      </c>
      <c r="K22" s="14">
        <f>=(TeamStd_Price*Upfront_Pct)*SUMPRODUCT(($B$4:AK$4=K$4),$B$7:AK$7)+=(TeamStd_Price*(1-Upfront_Pct)/Collect_Months)*SUMPRODUCT(($B$4:AK$4&gt;=K$4-Collect_Months)*($B$4:AK$4&lt;K$4),$B$7:AK$7)</f>
        <v/>
      </c>
      <c r="L22" s="14">
        <f>=(TeamStd_Price*Upfront_Pct)*SUMPRODUCT(($B$4:AK$4=L$4),$B$7:AK$7)+=(TeamStd_Price*(1-Upfront_Pct)/Collect_Months)*SUMPRODUCT(($B$4:AK$4&gt;=L$4-Collect_Months)*($B$4:AK$4&lt;L$4),$B$7:AK$7)</f>
        <v/>
      </c>
      <c r="M22" s="14">
        <f>=(TeamStd_Price*Upfront_Pct)*SUMPRODUCT(($B$4:AK$4=M$4),$B$7:AK$7)+=(TeamStd_Price*(1-Upfront_Pct)/Collect_Months)*SUMPRODUCT(($B$4:AK$4&gt;=M$4-Collect_Months)*($B$4:AK$4&lt;M$4),$B$7:AK$7)</f>
        <v/>
      </c>
      <c r="N22" s="14">
        <f>=(TeamStd_Price*Upfront_Pct)*SUMPRODUCT(($B$4:AK$4=N$4),$B$7:AK$7)+=(TeamStd_Price*(1-Upfront_Pct)/Collect_Months)*SUMPRODUCT(($B$4:AK$4&gt;=N$4-Collect_Months)*($B$4:AK$4&lt;N$4),$B$7:AK$7)</f>
        <v/>
      </c>
      <c r="O22" s="14">
        <f>=(TeamStd_Price*Upfront_Pct)*SUMPRODUCT(($B$4:AK$4=O$4),$B$7:AK$7)+=(TeamStd_Price*(1-Upfront_Pct)/Collect_Months)*SUMPRODUCT(($B$4:AK$4&gt;=O$4-Collect_Months)*($B$4:AK$4&lt;O$4),$B$7:AK$7)</f>
        <v/>
      </c>
      <c r="P22" s="14">
        <f>=(TeamStd_Price*Upfront_Pct)*SUMPRODUCT(($B$4:AK$4=P$4),$B$7:AK$7)+=(TeamStd_Price*(1-Upfront_Pct)/Collect_Months)*SUMPRODUCT(($B$4:AK$4&gt;=P$4-Collect_Months)*($B$4:AK$4&lt;P$4),$B$7:AK$7)</f>
        <v/>
      </c>
      <c r="Q22" s="14">
        <f>=(TeamStd_Price*Upfront_Pct)*SUMPRODUCT(($B$4:AK$4=Q$4),$B$7:AK$7)+=(TeamStd_Price*(1-Upfront_Pct)/Collect_Months)*SUMPRODUCT(($B$4:AK$4&gt;=Q$4-Collect_Months)*($B$4:AK$4&lt;Q$4),$B$7:AK$7)</f>
        <v/>
      </c>
      <c r="R22" s="14">
        <f>=(TeamStd_Price*Upfront_Pct)*SUMPRODUCT(($B$4:AK$4=R$4),$B$7:AK$7)+=(TeamStd_Price*(1-Upfront_Pct)/Collect_Months)*SUMPRODUCT(($B$4:AK$4&gt;=R$4-Collect_Months)*($B$4:AK$4&lt;R$4),$B$7:AK$7)</f>
        <v/>
      </c>
      <c r="S22" s="14">
        <f>=(TeamStd_Price*Upfront_Pct)*SUMPRODUCT(($B$4:AK$4=S$4),$B$7:AK$7)+=(TeamStd_Price*(1-Upfront_Pct)/Collect_Months)*SUMPRODUCT(($B$4:AK$4&gt;=S$4-Collect_Months)*($B$4:AK$4&lt;S$4),$B$7:AK$7)</f>
        <v/>
      </c>
      <c r="T22" s="14">
        <f>=(TeamStd_Price*Upfront_Pct)*SUMPRODUCT(($B$4:AK$4=T$4),$B$7:AK$7)+=(TeamStd_Price*(1-Upfront_Pct)/Collect_Months)*SUMPRODUCT(($B$4:AK$4&gt;=T$4-Collect_Months)*($B$4:AK$4&lt;T$4),$B$7:AK$7)</f>
        <v/>
      </c>
      <c r="U22" s="14">
        <f>=(TeamStd_Price*Upfront_Pct)*SUMPRODUCT(($B$4:AK$4=U$4),$B$7:AK$7)+=(TeamStd_Price*(1-Upfront_Pct)/Collect_Months)*SUMPRODUCT(($B$4:AK$4&gt;=U$4-Collect_Months)*($B$4:AK$4&lt;U$4),$B$7:AK$7)</f>
        <v/>
      </c>
      <c r="V22" s="14">
        <f>=(TeamStd_Price*Upfront_Pct)*SUMPRODUCT(($B$4:AK$4=V$4),$B$7:AK$7)+=(TeamStd_Price*(1-Upfront_Pct)/Collect_Months)*SUMPRODUCT(($B$4:AK$4&gt;=V$4-Collect_Months)*($B$4:AK$4&lt;V$4),$B$7:AK$7)</f>
        <v/>
      </c>
      <c r="W22" s="14">
        <f>=(TeamStd_Price*Upfront_Pct)*SUMPRODUCT(($B$4:AK$4=W$4),$B$7:AK$7)+=(TeamStd_Price*(1-Upfront_Pct)/Collect_Months)*SUMPRODUCT(($B$4:AK$4&gt;=W$4-Collect_Months)*($B$4:AK$4&lt;W$4),$B$7:AK$7)</f>
        <v/>
      </c>
      <c r="X22" s="14">
        <f>=(TeamStd_Price*Upfront_Pct)*SUMPRODUCT(($B$4:AK$4=X$4),$B$7:AK$7)+=(TeamStd_Price*(1-Upfront_Pct)/Collect_Months)*SUMPRODUCT(($B$4:AK$4&gt;=X$4-Collect_Months)*($B$4:AK$4&lt;X$4),$B$7:AK$7)</f>
        <v/>
      </c>
      <c r="Y22" s="14">
        <f>=(TeamStd_Price*Upfront_Pct)*SUMPRODUCT(($B$4:AK$4=Y$4),$B$7:AK$7)+=(TeamStd_Price*(1-Upfront_Pct)/Collect_Months)*SUMPRODUCT(($B$4:AK$4&gt;=Y$4-Collect_Months)*($B$4:AK$4&lt;Y$4),$B$7:AK$7)</f>
        <v/>
      </c>
      <c r="Z22" s="14">
        <f>=(TeamStd_Price*Upfront_Pct)*SUMPRODUCT(($B$4:AK$4=Z$4),$B$7:AK$7)+=(TeamStd_Price*(1-Upfront_Pct)/Collect_Months)*SUMPRODUCT(($B$4:AK$4&gt;=Z$4-Collect_Months)*($B$4:AK$4&lt;Z$4),$B$7:AK$7)</f>
        <v/>
      </c>
      <c r="AA22" s="14">
        <f>=(TeamStd_Price*Upfront_Pct)*SUMPRODUCT(($B$4:AK$4=AA$4),$B$7:AK$7)+=(TeamStd_Price*(1-Upfront_Pct)/Collect_Months)*SUMPRODUCT(($B$4:AK$4&gt;=AA$4-Collect_Months)*($B$4:AK$4&lt;AA$4),$B$7:AK$7)</f>
        <v/>
      </c>
      <c r="AB22" s="14">
        <f>=(TeamStd_Price*Upfront_Pct)*SUMPRODUCT(($B$4:AK$4=AB$4),$B$7:AK$7)+=(TeamStd_Price*(1-Upfront_Pct)/Collect_Months)*SUMPRODUCT(($B$4:AK$4&gt;=AB$4-Collect_Months)*($B$4:AK$4&lt;AB$4),$B$7:AK$7)</f>
        <v/>
      </c>
      <c r="AC22" s="14">
        <f>=(TeamStd_Price*Upfront_Pct)*SUMPRODUCT(($B$4:AK$4=AC$4),$B$7:AK$7)+=(TeamStd_Price*(1-Upfront_Pct)/Collect_Months)*SUMPRODUCT(($B$4:AK$4&gt;=AC$4-Collect_Months)*($B$4:AK$4&lt;AC$4),$B$7:AK$7)</f>
        <v/>
      </c>
      <c r="AD22" s="14">
        <f>=(TeamStd_Price*Upfront_Pct)*SUMPRODUCT(($B$4:AK$4=AD$4),$B$7:AK$7)+=(TeamStd_Price*(1-Upfront_Pct)/Collect_Months)*SUMPRODUCT(($B$4:AK$4&gt;=AD$4-Collect_Months)*($B$4:AK$4&lt;AD$4),$B$7:AK$7)</f>
        <v/>
      </c>
      <c r="AE22" s="14">
        <f>=(TeamStd_Price*Upfront_Pct)*SUMPRODUCT(($B$4:AK$4=AE$4),$B$7:AK$7)+=(TeamStd_Price*(1-Upfront_Pct)/Collect_Months)*SUMPRODUCT(($B$4:AK$4&gt;=AE$4-Collect_Months)*($B$4:AK$4&lt;AE$4),$B$7:AK$7)</f>
        <v/>
      </c>
      <c r="AF22" s="14">
        <f>=(TeamStd_Price*Upfront_Pct)*SUMPRODUCT(($B$4:AK$4=AF$4),$B$7:AK$7)+=(TeamStd_Price*(1-Upfront_Pct)/Collect_Months)*SUMPRODUCT(($B$4:AK$4&gt;=AF$4-Collect_Months)*($B$4:AK$4&lt;AF$4),$B$7:AK$7)</f>
        <v/>
      </c>
      <c r="AG22" s="14">
        <f>=(TeamStd_Price*Upfront_Pct)*SUMPRODUCT(($B$4:AK$4=AG$4),$B$7:AK$7)+=(TeamStd_Price*(1-Upfront_Pct)/Collect_Months)*SUMPRODUCT(($B$4:AK$4&gt;=AG$4-Collect_Months)*($B$4:AK$4&lt;AG$4),$B$7:AK$7)</f>
        <v/>
      </c>
      <c r="AH22" s="14">
        <f>=(TeamStd_Price*Upfront_Pct)*SUMPRODUCT(($B$4:AK$4=AH$4),$B$7:AK$7)+=(TeamStd_Price*(1-Upfront_Pct)/Collect_Months)*SUMPRODUCT(($B$4:AK$4&gt;=AH$4-Collect_Months)*($B$4:AK$4&lt;AH$4),$B$7:AK$7)</f>
        <v/>
      </c>
      <c r="AI22" s="14">
        <f>=(TeamStd_Price*Upfront_Pct)*SUMPRODUCT(($B$4:AK$4=AI$4),$B$7:AK$7)+=(TeamStd_Price*(1-Upfront_Pct)/Collect_Months)*SUMPRODUCT(($B$4:AK$4&gt;=AI$4-Collect_Months)*($B$4:AK$4&lt;AI$4),$B$7:AK$7)</f>
        <v/>
      </c>
      <c r="AJ22" s="14">
        <f>=(TeamStd_Price*Upfront_Pct)*SUMPRODUCT(($B$4:AK$4=AJ$4),$B$7:AK$7)+=(TeamStd_Price*(1-Upfront_Pct)/Collect_Months)*SUMPRODUCT(($B$4:AK$4&gt;=AJ$4-Collect_Months)*($B$4:AK$4&lt;AJ$4),$B$7:AK$7)</f>
        <v/>
      </c>
      <c r="AK22" s="14">
        <f>=(TeamStd_Price*Upfront_Pct)*SUMPRODUCT(($B$4:AK$4=AK$4),$B$7:AK$7)+=(TeamStd_Price*(1-Upfront_Pct)/Collect_Months)*SUMPRODUCT(($B$4:AK$4&gt;=AK$4-Collect_Months)*($B$4:AK$4&lt;AK$4),$B$7:AK$7)</f>
        <v/>
      </c>
    </row>
    <row r="23" ht="20" customHeight="1">
      <c r="A23" s="3" t="inlineStr">
        <is>
          <t>入金：ライトニング（1ヶ月）</t>
        </is>
      </c>
      <c r="B23" s="14">
        <f>=(Lightning_Price*Upfront_Pct)*SUMPRODUCT(($B$4:AK$4=B$4),$B$8:AK$8)+=(Lightning_Price*(1-Upfront_Pct)/Collect_Months)*SUMPRODUCT(($B$4:AK$4&gt;=B$4-Collect_Months)*($B$4:AK$4&lt;B$4),$B$8:AK$8)</f>
        <v/>
      </c>
      <c r="C23" s="14">
        <f>=(Lightning_Price*Upfront_Pct)*SUMPRODUCT(($B$4:AK$4=C$4),$B$8:AK$8)+=(Lightning_Price*(1-Upfront_Pct)/Collect_Months)*SUMPRODUCT(($B$4:AK$4&gt;=C$4-Collect_Months)*($B$4:AK$4&lt;C$4),$B$8:AK$8)</f>
        <v/>
      </c>
      <c r="D23" s="14">
        <f>=(Lightning_Price*Upfront_Pct)*SUMPRODUCT(($B$4:AK$4=D$4),$B$8:AK$8)+=(Lightning_Price*(1-Upfront_Pct)/Collect_Months)*SUMPRODUCT(($B$4:AK$4&gt;=D$4-Collect_Months)*($B$4:AK$4&lt;D$4),$B$8:AK$8)</f>
        <v/>
      </c>
      <c r="E23" s="14">
        <f>=(Lightning_Price*Upfront_Pct)*SUMPRODUCT(($B$4:AK$4=E$4),$B$8:AK$8)+=(Lightning_Price*(1-Upfront_Pct)/Collect_Months)*SUMPRODUCT(($B$4:AK$4&gt;=E$4-Collect_Months)*($B$4:AK$4&lt;E$4),$B$8:AK$8)</f>
        <v/>
      </c>
      <c r="F23" s="14">
        <f>=(Lightning_Price*Upfront_Pct)*SUMPRODUCT(($B$4:AK$4=F$4),$B$8:AK$8)+=(Lightning_Price*(1-Upfront_Pct)/Collect_Months)*SUMPRODUCT(($B$4:AK$4&gt;=F$4-Collect_Months)*($B$4:AK$4&lt;F$4),$B$8:AK$8)</f>
        <v/>
      </c>
      <c r="G23" s="14">
        <f>=(Lightning_Price*Upfront_Pct)*SUMPRODUCT(($B$4:AK$4=G$4),$B$8:AK$8)+=(Lightning_Price*(1-Upfront_Pct)/Collect_Months)*SUMPRODUCT(($B$4:AK$4&gt;=G$4-Collect_Months)*($B$4:AK$4&lt;G$4),$B$8:AK$8)</f>
        <v/>
      </c>
      <c r="H23" s="14">
        <f>=(Lightning_Price*Upfront_Pct)*SUMPRODUCT(($B$4:AK$4=H$4),$B$8:AK$8)+=(Lightning_Price*(1-Upfront_Pct)/Collect_Months)*SUMPRODUCT(($B$4:AK$4&gt;=H$4-Collect_Months)*($B$4:AK$4&lt;H$4),$B$8:AK$8)</f>
        <v/>
      </c>
      <c r="I23" s="14">
        <f>=(Lightning_Price*Upfront_Pct)*SUMPRODUCT(($B$4:AK$4=I$4),$B$8:AK$8)+=(Lightning_Price*(1-Upfront_Pct)/Collect_Months)*SUMPRODUCT(($B$4:AK$4&gt;=I$4-Collect_Months)*($B$4:AK$4&lt;I$4),$B$8:AK$8)</f>
        <v/>
      </c>
      <c r="J23" s="14">
        <f>=(Lightning_Price*Upfront_Pct)*SUMPRODUCT(($B$4:AK$4=J$4),$B$8:AK$8)+=(Lightning_Price*(1-Upfront_Pct)/Collect_Months)*SUMPRODUCT(($B$4:AK$4&gt;=J$4-Collect_Months)*($B$4:AK$4&lt;J$4),$B$8:AK$8)</f>
        <v/>
      </c>
      <c r="K23" s="14">
        <f>=(Lightning_Price*Upfront_Pct)*SUMPRODUCT(($B$4:AK$4=K$4),$B$8:AK$8)+=(Lightning_Price*(1-Upfront_Pct)/Collect_Months)*SUMPRODUCT(($B$4:AK$4&gt;=K$4-Collect_Months)*($B$4:AK$4&lt;K$4),$B$8:AK$8)</f>
        <v/>
      </c>
      <c r="L23" s="14">
        <f>=(Lightning_Price*Upfront_Pct)*SUMPRODUCT(($B$4:AK$4=L$4),$B$8:AK$8)+=(Lightning_Price*(1-Upfront_Pct)/Collect_Months)*SUMPRODUCT(($B$4:AK$4&gt;=L$4-Collect_Months)*($B$4:AK$4&lt;L$4),$B$8:AK$8)</f>
        <v/>
      </c>
      <c r="M23" s="14">
        <f>=(Lightning_Price*Upfront_Pct)*SUMPRODUCT(($B$4:AK$4=M$4),$B$8:AK$8)+=(Lightning_Price*(1-Upfront_Pct)/Collect_Months)*SUMPRODUCT(($B$4:AK$4&gt;=M$4-Collect_Months)*($B$4:AK$4&lt;M$4),$B$8:AK$8)</f>
        <v/>
      </c>
      <c r="N23" s="14">
        <f>=(Lightning_Price*Upfront_Pct)*SUMPRODUCT(($B$4:AK$4=N$4),$B$8:AK$8)+=(Lightning_Price*(1-Upfront_Pct)/Collect_Months)*SUMPRODUCT(($B$4:AK$4&gt;=N$4-Collect_Months)*($B$4:AK$4&lt;N$4),$B$8:AK$8)</f>
        <v/>
      </c>
      <c r="O23" s="14">
        <f>=(Lightning_Price*Upfront_Pct)*SUMPRODUCT(($B$4:AK$4=O$4),$B$8:AK$8)+=(Lightning_Price*(1-Upfront_Pct)/Collect_Months)*SUMPRODUCT(($B$4:AK$4&gt;=O$4-Collect_Months)*($B$4:AK$4&lt;O$4),$B$8:AK$8)</f>
        <v/>
      </c>
      <c r="P23" s="14">
        <f>=(Lightning_Price*Upfront_Pct)*SUMPRODUCT(($B$4:AK$4=P$4),$B$8:AK$8)+=(Lightning_Price*(1-Upfront_Pct)/Collect_Months)*SUMPRODUCT(($B$4:AK$4&gt;=P$4-Collect_Months)*($B$4:AK$4&lt;P$4),$B$8:AK$8)</f>
        <v/>
      </c>
      <c r="Q23" s="14">
        <f>=(Lightning_Price*Upfront_Pct)*SUMPRODUCT(($B$4:AK$4=Q$4),$B$8:AK$8)+=(Lightning_Price*(1-Upfront_Pct)/Collect_Months)*SUMPRODUCT(($B$4:AK$4&gt;=Q$4-Collect_Months)*($B$4:AK$4&lt;Q$4),$B$8:AK$8)</f>
        <v/>
      </c>
      <c r="R23" s="14">
        <f>=(Lightning_Price*Upfront_Pct)*SUMPRODUCT(($B$4:AK$4=R$4),$B$8:AK$8)+=(Lightning_Price*(1-Upfront_Pct)/Collect_Months)*SUMPRODUCT(($B$4:AK$4&gt;=R$4-Collect_Months)*($B$4:AK$4&lt;R$4),$B$8:AK$8)</f>
        <v/>
      </c>
      <c r="S23" s="14">
        <f>=(Lightning_Price*Upfront_Pct)*SUMPRODUCT(($B$4:AK$4=S$4),$B$8:AK$8)+=(Lightning_Price*(1-Upfront_Pct)/Collect_Months)*SUMPRODUCT(($B$4:AK$4&gt;=S$4-Collect_Months)*($B$4:AK$4&lt;S$4),$B$8:AK$8)</f>
        <v/>
      </c>
      <c r="T23" s="14">
        <f>=(Lightning_Price*Upfront_Pct)*SUMPRODUCT(($B$4:AK$4=T$4),$B$8:AK$8)+=(Lightning_Price*(1-Upfront_Pct)/Collect_Months)*SUMPRODUCT(($B$4:AK$4&gt;=T$4-Collect_Months)*($B$4:AK$4&lt;T$4),$B$8:AK$8)</f>
        <v/>
      </c>
      <c r="U23" s="14">
        <f>=(Lightning_Price*Upfront_Pct)*SUMPRODUCT(($B$4:AK$4=U$4),$B$8:AK$8)+=(Lightning_Price*(1-Upfront_Pct)/Collect_Months)*SUMPRODUCT(($B$4:AK$4&gt;=U$4-Collect_Months)*($B$4:AK$4&lt;U$4),$B$8:AK$8)</f>
        <v/>
      </c>
      <c r="V23" s="14">
        <f>=(Lightning_Price*Upfront_Pct)*SUMPRODUCT(($B$4:AK$4=V$4),$B$8:AK$8)+=(Lightning_Price*(1-Upfront_Pct)/Collect_Months)*SUMPRODUCT(($B$4:AK$4&gt;=V$4-Collect_Months)*($B$4:AK$4&lt;V$4),$B$8:AK$8)</f>
        <v/>
      </c>
      <c r="W23" s="14">
        <f>=(Lightning_Price*Upfront_Pct)*SUMPRODUCT(($B$4:AK$4=W$4),$B$8:AK$8)+=(Lightning_Price*(1-Upfront_Pct)/Collect_Months)*SUMPRODUCT(($B$4:AK$4&gt;=W$4-Collect_Months)*($B$4:AK$4&lt;W$4),$B$8:AK$8)</f>
        <v/>
      </c>
      <c r="X23" s="14">
        <f>=(Lightning_Price*Upfront_Pct)*SUMPRODUCT(($B$4:AK$4=X$4),$B$8:AK$8)+=(Lightning_Price*(1-Upfront_Pct)/Collect_Months)*SUMPRODUCT(($B$4:AK$4&gt;=X$4-Collect_Months)*($B$4:AK$4&lt;X$4),$B$8:AK$8)</f>
        <v/>
      </c>
      <c r="Y23" s="14">
        <f>=(Lightning_Price*Upfront_Pct)*SUMPRODUCT(($B$4:AK$4=Y$4),$B$8:AK$8)+=(Lightning_Price*(1-Upfront_Pct)/Collect_Months)*SUMPRODUCT(($B$4:AK$4&gt;=Y$4-Collect_Months)*($B$4:AK$4&lt;Y$4),$B$8:AK$8)</f>
        <v/>
      </c>
      <c r="Z23" s="14">
        <f>=(Lightning_Price*Upfront_Pct)*SUMPRODUCT(($B$4:AK$4=Z$4),$B$8:AK$8)+=(Lightning_Price*(1-Upfront_Pct)/Collect_Months)*SUMPRODUCT(($B$4:AK$4&gt;=Z$4-Collect_Months)*($B$4:AK$4&lt;Z$4),$B$8:AK$8)</f>
        <v/>
      </c>
      <c r="AA23" s="14">
        <f>=(Lightning_Price*Upfront_Pct)*SUMPRODUCT(($B$4:AK$4=AA$4),$B$8:AK$8)+=(Lightning_Price*(1-Upfront_Pct)/Collect_Months)*SUMPRODUCT(($B$4:AK$4&gt;=AA$4-Collect_Months)*($B$4:AK$4&lt;AA$4),$B$8:AK$8)</f>
        <v/>
      </c>
      <c r="AB23" s="14">
        <f>=(Lightning_Price*Upfront_Pct)*SUMPRODUCT(($B$4:AK$4=AB$4),$B$8:AK$8)+=(Lightning_Price*(1-Upfront_Pct)/Collect_Months)*SUMPRODUCT(($B$4:AK$4&gt;=AB$4-Collect_Months)*($B$4:AK$4&lt;AB$4),$B$8:AK$8)</f>
        <v/>
      </c>
      <c r="AC23" s="14">
        <f>=(Lightning_Price*Upfront_Pct)*SUMPRODUCT(($B$4:AK$4=AC$4),$B$8:AK$8)+=(Lightning_Price*(1-Upfront_Pct)/Collect_Months)*SUMPRODUCT(($B$4:AK$4&gt;=AC$4-Collect_Months)*($B$4:AK$4&lt;AC$4),$B$8:AK$8)</f>
        <v/>
      </c>
      <c r="AD23" s="14">
        <f>=(Lightning_Price*Upfront_Pct)*SUMPRODUCT(($B$4:AK$4=AD$4),$B$8:AK$8)+=(Lightning_Price*(1-Upfront_Pct)/Collect_Months)*SUMPRODUCT(($B$4:AK$4&gt;=AD$4-Collect_Months)*($B$4:AK$4&lt;AD$4),$B$8:AK$8)</f>
        <v/>
      </c>
      <c r="AE23" s="14">
        <f>=(Lightning_Price*Upfront_Pct)*SUMPRODUCT(($B$4:AK$4=AE$4),$B$8:AK$8)+=(Lightning_Price*(1-Upfront_Pct)/Collect_Months)*SUMPRODUCT(($B$4:AK$4&gt;=AE$4-Collect_Months)*($B$4:AK$4&lt;AE$4),$B$8:AK$8)</f>
        <v/>
      </c>
      <c r="AF23" s="14">
        <f>=(Lightning_Price*Upfront_Pct)*SUMPRODUCT(($B$4:AK$4=AF$4),$B$8:AK$8)+=(Lightning_Price*(1-Upfront_Pct)/Collect_Months)*SUMPRODUCT(($B$4:AK$4&gt;=AF$4-Collect_Months)*($B$4:AK$4&lt;AF$4),$B$8:AK$8)</f>
        <v/>
      </c>
      <c r="AG23" s="14">
        <f>=(Lightning_Price*Upfront_Pct)*SUMPRODUCT(($B$4:AK$4=AG$4),$B$8:AK$8)+=(Lightning_Price*(1-Upfront_Pct)/Collect_Months)*SUMPRODUCT(($B$4:AK$4&gt;=AG$4-Collect_Months)*($B$4:AK$4&lt;AG$4),$B$8:AK$8)</f>
        <v/>
      </c>
      <c r="AH23" s="14">
        <f>=(Lightning_Price*Upfront_Pct)*SUMPRODUCT(($B$4:AK$4=AH$4),$B$8:AK$8)+=(Lightning_Price*(1-Upfront_Pct)/Collect_Months)*SUMPRODUCT(($B$4:AK$4&gt;=AH$4-Collect_Months)*($B$4:AK$4&lt;AH$4),$B$8:AK$8)</f>
        <v/>
      </c>
      <c r="AI23" s="14">
        <f>=(Lightning_Price*Upfront_Pct)*SUMPRODUCT(($B$4:AK$4=AI$4),$B$8:AK$8)+=(Lightning_Price*(1-Upfront_Pct)/Collect_Months)*SUMPRODUCT(($B$4:AK$4&gt;=AI$4-Collect_Months)*($B$4:AK$4&lt;AI$4),$B$8:AK$8)</f>
        <v/>
      </c>
      <c r="AJ23" s="14">
        <f>=(Lightning_Price*Upfront_Pct)*SUMPRODUCT(($B$4:AK$4=AJ$4),$B$8:AK$8)+=(Lightning_Price*(1-Upfront_Pct)/Collect_Months)*SUMPRODUCT(($B$4:AK$4&gt;=AJ$4-Collect_Months)*($B$4:AK$4&lt;AJ$4),$B$8:AK$8)</f>
        <v/>
      </c>
      <c r="AK23" s="14">
        <f>=(Lightning_Price*Upfront_Pct)*SUMPRODUCT(($B$4:AK$4=AK$4),$B$8:AK$8)+=(Lightning_Price*(1-Upfront_Pct)/Collect_Months)*SUMPRODUCT(($B$4:AK$4&gt;=AK$4-Collect_Months)*($B$4:AK$4&lt;AK$4),$B$8:AK$8)</f>
        <v/>
      </c>
    </row>
    <row r="24" ht="20" customHeight="1">
      <c r="A24" s="3" t="inlineStr">
        <is>
          <t>入金：生成AI研修</t>
        </is>
      </c>
      <c r="B24" s="14">
        <f>=(Training_Price*Upfront_Pct)*SUMPRODUCT(($B$4:AK$4=B$4),$B$9:AK$9)+=(Training_Price*(1-Upfront_Pct)/Collect_Months)*SUMPRODUCT(($B$4:AK$4&gt;=B$4-Collect_Months)*($B$4:AK$4&lt;B$4),$B$9:AK$9)</f>
        <v/>
      </c>
      <c r="C24" s="14">
        <f>=(Training_Price*Upfront_Pct)*SUMPRODUCT(($B$4:AK$4=C$4),$B$9:AK$9)+=(Training_Price*(1-Upfront_Pct)/Collect_Months)*SUMPRODUCT(($B$4:AK$4&gt;=C$4-Collect_Months)*($B$4:AK$4&lt;C$4),$B$9:AK$9)</f>
        <v/>
      </c>
      <c r="D24" s="14">
        <f>=(Training_Price*Upfront_Pct)*SUMPRODUCT(($B$4:AK$4=D$4),$B$9:AK$9)+=(Training_Price*(1-Upfront_Pct)/Collect_Months)*SUMPRODUCT(($B$4:AK$4&gt;=D$4-Collect_Months)*($B$4:AK$4&lt;D$4),$B$9:AK$9)</f>
        <v/>
      </c>
      <c r="E24" s="14">
        <f>=(Training_Price*Upfront_Pct)*SUMPRODUCT(($B$4:AK$4=E$4),$B$9:AK$9)+=(Training_Price*(1-Upfront_Pct)/Collect_Months)*SUMPRODUCT(($B$4:AK$4&gt;=E$4-Collect_Months)*($B$4:AK$4&lt;E$4),$B$9:AK$9)</f>
        <v/>
      </c>
      <c r="F24" s="14">
        <f>=(Training_Price*Upfront_Pct)*SUMPRODUCT(($B$4:AK$4=F$4),$B$9:AK$9)+=(Training_Price*(1-Upfront_Pct)/Collect_Months)*SUMPRODUCT(($B$4:AK$4&gt;=F$4-Collect_Months)*($B$4:AK$4&lt;F$4),$B$9:AK$9)</f>
        <v/>
      </c>
      <c r="G24" s="14">
        <f>=(Training_Price*Upfront_Pct)*SUMPRODUCT(($B$4:AK$4=G$4),$B$9:AK$9)+=(Training_Price*(1-Upfront_Pct)/Collect_Months)*SUMPRODUCT(($B$4:AK$4&gt;=G$4-Collect_Months)*($B$4:AK$4&lt;G$4),$B$9:AK$9)</f>
        <v/>
      </c>
      <c r="H24" s="14">
        <f>=(Training_Price*Upfront_Pct)*SUMPRODUCT(($B$4:AK$4=H$4),$B$9:AK$9)+=(Training_Price*(1-Upfront_Pct)/Collect_Months)*SUMPRODUCT(($B$4:AK$4&gt;=H$4-Collect_Months)*($B$4:AK$4&lt;H$4),$B$9:AK$9)</f>
        <v/>
      </c>
      <c r="I24" s="14">
        <f>=(Training_Price*Upfront_Pct)*SUMPRODUCT(($B$4:AK$4=I$4),$B$9:AK$9)+=(Training_Price*(1-Upfront_Pct)/Collect_Months)*SUMPRODUCT(($B$4:AK$4&gt;=I$4-Collect_Months)*($B$4:AK$4&lt;I$4),$B$9:AK$9)</f>
        <v/>
      </c>
      <c r="J24" s="14">
        <f>=(Training_Price*Upfront_Pct)*SUMPRODUCT(($B$4:AK$4=J$4),$B$9:AK$9)+=(Training_Price*(1-Upfront_Pct)/Collect_Months)*SUMPRODUCT(($B$4:AK$4&gt;=J$4-Collect_Months)*($B$4:AK$4&lt;J$4),$B$9:AK$9)</f>
        <v/>
      </c>
      <c r="K24" s="14">
        <f>=(Training_Price*Upfront_Pct)*SUMPRODUCT(($B$4:AK$4=K$4),$B$9:AK$9)+=(Training_Price*(1-Upfront_Pct)/Collect_Months)*SUMPRODUCT(($B$4:AK$4&gt;=K$4-Collect_Months)*($B$4:AK$4&lt;K$4),$B$9:AK$9)</f>
        <v/>
      </c>
      <c r="L24" s="14">
        <f>=(Training_Price*Upfront_Pct)*SUMPRODUCT(($B$4:AK$4=L$4),$B$9:AK$9)+=(Training_Price*(1-Upfront_Pct)/Collect_Months)*SUMPRODUCT(($B$4:AK$4&gt;=L$4-Collect_Months)*($B$4:AK$4&lt;L$4),$B$9:AK$9)</f>
        <v/>
      </c>
      <c r="M24" s="14">
        <f>=(Training_Price*Upfront_Pct)*SUMPRODUCT(($B$4:AK$4=M$4),$B$9:AK$9)+=(Training_Price*(1-Upfront_Pct)/Collect_Months)*SUMPRODUCT(($B$4:AK$4&gt;=M$4-Collect_Months)*($B$4:AK$4&lt;M$4),$B$9:AK$9)</f>
        <v/>
      </c>
      <c r="N24" s="14">
        <f>=(Training_Price*Upfront_Pct)*SUMPRODUCT(($B$4:AK$4=N$4),$B$9:AK$9)+=(Training_Price*(1-Upfront_Pct)/Collect_Months)*SUMPRODUCT(($B$4:AK$4&gt;=N$4-Collect_Months)*($B$4:AK$4&lt;N$4),$B$9:AK$9)</f>
        <v/>
      </c>
      <c r="O24" s="14">
        <f>=(Training_Price*Upfront_Pct)*SUMPRODUCT(($B$4:AK$4=O$4),$B$9:AK$9)+=(Training_Price*(1-Upfront_Pct)/Collect_Months)*SUMPRODUCT(($B$4:AK$4&gt;=O$4-Collect_Months)*($B$4:AK$4&lt;O$4),$B$9:AK$9)</f>
        <v/>
      </c>
      <c r="P24" s="14">
        <f>=(Training_Price*Upfront_Pct)*SUMPRODUCT(($B$4:AK$4=P$4),$B$9:AK$9)+=(Training_Price*(1-Upfront_Pct)/Collect_Months)*SUMPRODUCT(($B$4:AK$4&gt;=P$4-Collect_Months)*($B$4:AK$4&lt;P$4),$B$9:AK$9)</f>
        <v/>
      </c>
      <c r="Q24" s="14">
        <f>=(Training_Price*Upfront_Pct)*SUMPRODUCT(($B$4:AK$4=Q$4),$B$9:AK$9)+=(Training_Price*(1-Upfront_Pct)/Collect_Months)*SUMPRODUCT(($B$4:AK$4&gt;=Q$4-Collect_Months)*($B$4:AK$4&lt;Q$4),$B$9:AK$9)</f>
        <v/>
      </c>
      <c r="R24" s="14">
        <f>=(Training_Price*Upfront_Pct)*SUMPRODUCT(($B$4:AK$4=R$4),$B$9:AK$9)+=(Training_Price*(1-Upfront_Pct)/Collect_Months)*SUMPRODUCT(($B$4:AK$4&gt;=R$4-Collect_Months)*($B$4:AK$4&lt;R$4),$B$9:AK$9)</f>
        <v/>
      </c>
      <c r="S24" s="14">
        <f>=(Training_Price*Upfront_Pct)*SUMPRODUCT(($B$4:AK$4=S$4),$B$9:AK$9)+=(Training_Price*(1-Upfront_Pct)/Collect_Months)*SUMPRODUCT(($B$4:AK$4&gt;=S$4-Collect_Months)*($B$4:AK$4&lt;S$4),$B$9:AK$9)</f>
        <v/>
      </c>
      <c r="T24" s="14">
        <f>=(Training_Price*Upfront_Pct)*SUMPRODUCT(($B$4:AK$4=T$4),$B$9:AK$9)+=(Training_Price*(1-Upfront_Pct)/Collect_Months)*SUMPRODUCT(($B$4:AK$4&gt;=T$4-Collect_Months)*($B$4:AK$4&lt;T$4),$B$9:AK$9)</f>
        <v/>
      </c>
      <c r="U24" s="14">
        <f>=(Training_Price*Upfront_Pct)*SUMPRODUCT(($B$4:AK$4=U$4),$B$9:AK$9)+=(Training_Price*(1-Upfront_Pct)/Collect_Months)*SUMPRODUCT(($B$4:AK$4&gt;=U$4-Collect_Months)*($B$4:AK$4&lt;U$4),$B$9:AK$9)</f>
        <v/>
      </c>
      <c r="V24" s="14">
        <f>=(Training_Price*Upfront_Pct)*SUMPRODUCT(($B$4:AK$4=V$4),$B$9:AK$9)+=(Training_Price*(1-Upfront_Pct)/Collect_Months)*SUMPRODUCT(($B$4:AK$4&gt;=V$4-Collect_Months)*($B$4:AK$4&lt;V$4),$B$9:AK$9)</f>
        <v/>
      </c>
      <c r="W24" s="14">
        <f>=(Training_Price*Upfront_Pct)*SUMPRODUCT(($B$4:AK$4=W$4),$B$9:AK$9)+=(Training_Price*(1-Upfront_Pct)/Collect_Months)*SUMPRODUCT(($B$4:AK$4&gt;=W$4-Collect_Months)*($B$4:AK$4&lt;W$4),$B$9:AK$9)</f>
        <v/>
      </c>
      <c r="X24" s="14">
        <f>=(Training_Price*Upfront_Pct)*SUMPRODUCT(($B$4:AK$4=X$4),$B$9:AK$9)+=(Training_Price*(1-Upfront_Pct)/Collect_Months)*SUMPRODUCT(($B$4:AK$4&gt;=X$4-Collect_Months)*($B$4:AK$4&lt;X$4),$B$9:AK$9)</f>
        <v/>
      </c>
      <c r="Y24" s="14">
        <f>=(Training_Price*Upfront_Pct)*SUMPRODUCT(($B$4:AK$4=Y$4),$B$9:AK$9)+=(Training_Price*(1-Upfront_Pct)/Collect_Months)*SUMPRODUCT(($B$4:AK$4&gt;=Y$4-Collect_Months)*($B$4:AK$4&lt;Y$4),$B$9:AK$9)</f>
        <v/>
      </c>
      <c r="Z24" s="14">
        <f>=(Training_Price*Upfront_Pct)*SUMPRODUCT(($B$4:AK$4=Z$4),$B$9:AK$9)+=(Training_Price*(1-Upfront_Pct)/Collect_Months)*SUMPRODUCT(($B$4:AK$4&gt;=Z$4-Collect_Months)*($B$4:AK$4&lt;Z$4),$B$9:AK$9)</f>
        <v/>
      </c>
      <c r="AA24" s="14">
        <f>=(Training_Price*Upfront_Pct)*SUMPRODUCT(($B$4:AK$4=AA$4),$B$9:AK$9)+=(Training_Price*(1-Upfront_Pct)/Collect_Months)*SUMPRODUCT(($B$4:AK$4&gt;=AA$4-Collect_Months)*($B$4:AK$4&lt;AA$4),$B$9:AK$9)</f>
        <v/>
      </c>
      <c r="AB24" s="14">
        <f>=(Training_Price*Upfront_Pct)*SUMPRODUCT(($B$4:AK$4=AB$4),$B$9:AK$9)+=(Training_Price*(1-Upfront_Pct)/Collect_Months)*SUMPRODUCT(($B$4:AK$4&gt;=AB$4-Collect_Months)*($B$4:AK$4&lt;AB$4),$B$9:AK$9)</f>
        <v/>
      </c>
      <c r="AC24" s="14">
        <f>=(Training_Price*Upfront_Pct)*SUMPRODUCT(($B$4:AK$4=AC$4),$B$9:AK$9)+=(Training_Price*(1-Upfront_Pct)/Collect_Months)*SUMPRODUCT(($B$4:AK$4&gt;=AC$4-Collect_Months)*($B$4:AK$4&lt;AC$4),$B$9:AK$9)</f>
        <v/>
      </c>
      <c r="AD24" s="14">
        <f>=(Training_Price*Upfront_Pct)*SUMPRODUCT(($B$4:AK$4=AD$4),$B$9:AK$9)+=(Training_Price*(1-Upfront_Pct)/Collect_Months)*SUMPRODUCT(($B$4:AK$4&gt;=AD$4-Collect_Months)*($B$4:AK$4&lt;AD$4),$B$9:AK$9)</f>
        <v/>
      </c>
      <c r="AE24" s="14">
        <f>=(Training_Price*Upfront_Pct)*SUMPRODUCT(($B$4:AK$4=AE$4),$B$9:AK$9)+=(Training_Price*(1-Upfront_Pct)/Collect_Months)*SUMPRODUCT(($B$4:AK$4&gt;=AE$4-Collect_Months)*($B$4:AK$4&lt;AE$4),$B$9:AK$9)</f>
        <v/>
      </c>
      <c r="AF24" s="14">
        <f>=(Training_Price*Upfront_Pct)*SUMPRODUCT(($B$4:AK$4=AF$4),$B$9:AK$9)+=(Training_Price*(1-Upfront_Pct)/Collect_Months)*SUMPRODUCT(($B$4:AK$4&gt;=AF$4-Collect_Months)*($B$4:AK$4&lt;AF$4),$B$9:AK$9)</f>
        <v/>
      </c>
      <c r="AG24" s="14">
        <f>=(Training_Price*Upfront_Pct)*SUMPRODUCT(($B$4:AK$4=AG$4),$B$9:AK$9)+=(Training_Price*(1-Upfront_Pct)/Collect_Months)*SUMPRODUCT(($B$4:AK$4&gt;=AG$4-Collect_Months)*($B$4:AK$4&lt;AG$4),$B$9:AK$9)</f>
        <v/>
      </c>
      <c r="AH24" s="14">
        <f>=(Training_Price*Upfront_Pct)*SUMPRODUCT(($B$4:AK$4=AH$4),$B$9:AK$9)+=(Training_Price*(1-Upfront_Pct)/Collect_Months)*SUMPRODUCT(($B$4:AK$4&gt;=AH$4-Collect_Months)*($B$4:AK$4&lt;AH$4),$B$9:AK$9)</f>
        <v/>
      </c>
      <c r="AI24" s="14">
        <f>=(Training_Price*Upfront_Pct)*SUMPRODUCT(($B$4:AK$4=AI$4),$B$9:AK$9)+=(Training_Price*(1-Upfront_Pct)/Collect_Months)*SUMPRODUCT(($B$4:AK$4&gt;=AI$4-Collect_Months)*($B$4:AK$4&lt;AI$4),$B$9:AK$9)</f>
        <v/>
      </c>
      <c r="AJ24" s="14">
        <f>=(Training_Price*Upfront_Pct)*SUMPRODUCT(($B$4:AK$4=AJ$4),$B$9:AK$9)+=(Training_Price*(1-Upfront_Pct)/Collect_Months)*SUMPRODUCT(($B$4:AK$4&gt;=AJ$4-Collect_Months)*($B$4:AK$4&lt;AJ$4),$B$9:AK$9)</f>
        <v/>
      </c>
      <c r="AK24" s="14">
        <f>=(Training_Price*Upfront_Pct)*SUMPRODUCT(($B$4:AK$4=AK$4),$B$9:AK$9)+=(Training_Price*(1-Upfront_Pct)/Collect_Months)*SUMPRODUCT(($B$4:AK$4&gt;=AK$4-Collect_Months)*($B$4:AK$4&lt;AK$4),$B$9:AK$9)</f>
        <v/>
      </c>
    </row>
    <row r="25" ht="20" customHeight="1">
      <c r="A25" s="3" t="inlineStr">
        <is>
          <t>入金合計</t>
        </is>
      </c>
      <c r="B25" s="14">
        <f>SUM(B$22:B$24)</f>
        <v/>
      </c>
      <c r="C25" s="14">
        <f>SUM(C$22:C$24)</f>
        <v/>
      </c>
      <c r="D25" s="14">
        <f>SUM(D$22:D$24)</f>
        <v/>
      </c>
      <c r="E25" s="14">
        <f>SUM(E$22:E$24)</f>
        <v/>
      </c>
      <c r="F25" s="14">
        <f>SUM(F$22:F$24)</f>
        <v/>
      </c>
      <c r="G25" s="14">
        <f>SUM(G$22:G$24)</f>
        <v/>
      </c>
      <c r="H25" s="14">
        <f>SUM(H$22:H$24)</f>
        <v/>
      </c>
      <c r="I25" s="14">
        <f>SUM(I$22:I$24)</f>
        <v/>
      </c>
      <c r="J25" s="14">
        <f>SUM(J$22:J$24)</f>
        <v/>
      </c>
      <c r="K25" s="14">
        <f>SUM(K$22:K$24)</f>
        <v/>
      </c>
      <c r="L25" s="14">
        <f>SUM(L$22:L$24)</f>
        <v/>
      </c>
      <c r="M25" s="14">
        <f>SUM(M$22:M$24)</f>
        <v/>
      </c>
      <c r="N25" s="14">
        <f>SUM(N$22:N$24)</f>
        <v/>
      </c>
      <c r="O25" s="14">
        <f>SUM(O$22:O$24)</f>
        <v/>
      </c>
      <c r="P25" s="14">
        <f>SUM(P$22:P$24)</f>
        <v/>
      </c>
      <c r="Q25" s="14">
        <f>SUM(Q$22:Q$24)</f>
        <v/>
      </c>
      <c r="R25" s="14">
        <f>SUM(R$22:R$24)</f>
        <v/>
      </c>
      <c r="S25" s="14">
        <f>SUM(S$22:S$24)</f>
        <v/>
      </c>
      <c r="T25" s="14">
        <f>SUM(T$22:T$24)</f>
        <v/>
      </c>
      <c r="U25" s="14">
        <f>SUM(U$22:U$24)</f>
        <v/>
      </c>
      <c r="V25" s="14">
        <f>SUM(V$22:V$24)</f>
        <v/>
      </c>
      <c r="W25" s="14">
        <f>SUM(W$22:W$24)</f>
        <v/>
      </c>
      <c r="X25" s="14">
        <f>SUM(X$22:X$24)</f>
        <v/>
      </c>
      <c r="Y25" s="14">
        <f>SUM(Y$22:Y$24)</f>
        <v/>
      </c>
      <c r="Z25" s="14">
        <f>SUM(Z$22:Z$24)</f>
        <v/>
      </c>
      <c r="AA25" s="14">
        <f>SUM(AA$22:AA$24)</f>
        <v/>
      </c>
      <c r="AB25" s="14">
        <f>SUM(AB$22:AB$24)</f>
        <v/>
      </c>
      <c r="AC25" s="14">
        <f>SUM(AC$22:AC$24)</f>
        <v/>
      </c>
      <c r="AD25" s="14">
        <f>SUM(AD$22:AD$24)</f>
        <v/>
      </c>
      <c r="AE25" s="14">
        <f>SUM(AE$22:AE$24)</f>
        <v/>
      </c>
      <c r="AF25" s="14">
        <f>SUM(AF$22:AF$24)</f>
        <v/>
      </c>
      <c r="AG25" s="14">
        <f>SUM(AG$22:AG$24)</f>
        <v/>
      </c>
      <c r="AH25" s="14">
        <f>SUM(AH$22:AH$24)</f>
        <v/>
      </c>
      <c r="AI25" s="14">
        <f>SUM(AI$22:AI$24)</f>
        <v/>
      </c>
      <c r="AJ25" s="14">
        <f>SUM(AJ$22:AJ$24)</f>
        <v/>
      </c>
      <c r="AK25" s="14">
        <f>SUM(AK$22:AK$24)</f>
        <v/>
      </c>
    </row>
  </sheetData>
  <mergeCells count="5">
    <mergeCell ref="A15:AL15"/>
    <mergeCell ref="A10:AL10"/>
    <mergeCell ref="A6:AL6"/>
    <mergeCell ref="A1:AL1"/>
    <mergeCell ref="A21:AL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9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hidden="1" width="9" customWidth="1" min="26" max="26"/>
    <col hidden="1" width="9" customWidth="1" min="27" max="27"/>
    <col hidden="1" width="9" customWidth="1" min="28" max="28"/>
    <col hidden="1" width="9" customWidth="1" min="29" max="29"/>
    <col hidden="1" width="9" customWidth="1" min="30" max="30"/>
    <col hidden="1" width="9" customWidth="1" min="31" max="31"/>
    <col hidden="1" width="9" customWidth="1" min="32" max="32"/>
    <col hidden="1" width="9" customWidth="1" min="33" max="33"/>
    <col hidden="1" width="9" customWidth="1" min="34" max="34"/>
    <col hidden="1" width="9" customWidth="1" min="35" max="35"/>
    <col hidden="1" width="9" customWidth="1" min="36" max="36"/>
    <col hidden="1" width="9" customWidth="1" min="37" max="37"/>
  </cols>
  <sheetData>
    <row r="1" ht="26" customHeight="1">
      <c r="A1" s="4" t="inlineStr">
        <is>
          <t>原価・販管費（月次）</t>
        </is>
      </c>
    </row>
    <row r="3">
      <c r="A3" s="1" t="inlineStr">
        <is>
          <t>項目</t>
        </is>
      </c>
      <c r="B3" s="1" t="inlineStr">
        <is>
          <t>2026-01</t>
        </is>
      </c>
      <c r="C3" s="1" t="inlineStr">
        <is>
          <t>2026-02</t>
        </is>
      </c>
      <c r="D3" s="1" t="inlineStr">
        <is>
          <t>2026-03</t>
        </is>
      </c>
      <c r="E3" s="1" t="inlineStr">
        <is>
          <t>2026-04</t>
        </is>
      </c>
      <c r="F3" s="1" t="inlineStr">
        <is>
          <t>2026-05</t>
        </is>
      </c>
      <c r="G3" s="1" t="inlineStr">
        <is>
          <t>2026-06</t>
        </is>
      </c>
      <c r="H3" s="1" t="inlineStr">
        <is>
          <t>2026-07</t>
        </is>
      </c>
      <c r="I3" s="1" t="inlineStr">
        <is>
          <t>2026-08</t>
        </is>
      </c>
      <c r="J3" s="1" t="inlineStr">
        <is>
          <t>2026-09</t>
        </is>
      </c>
      <c r="K3" s="1" t="inlineStr">
        <is>
          <t>2026-10</t>
        </is>
      </c>
      <c r="L3" s="1" t="inlineStr">
        <is>
          <t>2026-11</t>
        </is>
      </c>
      <c r="M3" s="1" t="inlineStr">
        <is>
          <t>2026-12</t>
        </is>
      </c>
      <c r="N3" s="1" t="inlineStr">
        <is>
          <t>2027-01</t>
        </is>
      </c>
      <c r="O3" s="1" t="inlineStr">
        <is>
          <t>2027-02</t>
        </is>
      </c>
      <c r="P3" s="1" t="inlineStr">
        <is>
          <t>2027-03</t>
        </is>
      </c>
      <c r="Q3" s="1" t="inlineStr">
        <is>
          <t>2027-04</t>
        </is>
      </c>
      <c r="R3" s="1" t="inlineStr">
        <is>
          <t>2027-05</t>
        </is>
      </c>
      <c r="S3" s="1" t="inlineStr">
        <is>
          <t>2027-06</t>
        </is>
      </c>
      <c r="T3" s="1" t="inlineStr">
        <is>
          <t>2027-07</t>
        </is>
      </c>
      <c r="U3" s="1" t="inlineStr">
        <is>
          <t>2027-08</t>
        </is>
      </c>
      <c r="V3" s="1" t="inlineStr">
        <is>
          <t>2027-09</t>
        </is>
      </c>
      <c r="W3" s="1" t="inlineStr">
        <is>
          <t>2027-10</t>
        </is>
      </c>
      <c r="X3" s="1" t="inlineStr">
        <is>
          <t>2027-11</t>
        </is>
      </c>
      <c r="Y3" s="1" t="inlineStr">
        <is>
          <t>2027-12</t>
        </is>
      </c>
      <c r="Z3" s="1" t="inlineStr">
        <is>
          <t>2028-01</t>
        </is>
      </c>
      <c r="AA3" s="1" t="inlineStr">
        <is>
          <t>2028-02</t>
        </is>
      </c>
      <c r="AB3" s="1" t="inlineStr">
        <is>
          <t>2028-03</t>
        </is>
      </c>
      <c r="AC3" s="1" t="inlineStr">
        <is>
          <t>2028-04</t>
        </is>
      </c>
      <c r="AD3" s="1" t="inlineStr">
        <is>
          <t>2028-05</t>
        </is>
      </c>
      <c r="AE3" s="1" t="inlineStr">
        <is>
          <t>2028-06</t>
        </is>
      </c>
      <c r="AF3" s="1" t="inlineStr">
        <is>
          <t>2028-07</t>
        </is>
      </c>
      <c r="AG3" s="1" t="inlineStr">
        <is>
          <t>2028-08</t>
        </is>
      </c>
      <c r="AH3" s="1" t="inlineStr">
        <is>
          <t>2028-09</t>
        </is>
      </c>
      <c r="AI3" s="1" t="inlineStr">
        <is>
          <t>2028-10</t>
        </is>
      </c>
      <c r="AJ3" s="1" t="inlineStr">
        <is>
          <t>2028-11</t>
        </is>
      </c>
      <c r="AK3" s="1" t="inlineStr">
        <is>
          <t>2028-12</t>
        </is>
      </c>
    </row>
    <row r="5" ht="20" customHeight="1">
      <c r="A5" s="5" t="inlineStr">
        <is>
          <t>原価（変動）</t>
        </is>
      </c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5" t="n"/>
    </row>
    <row r="6" ht="20" customHeight="1">
      <c r="A6" s="3" t="inlineStr">
        <is>
          <t>原価：AIチーム開発（標準）</t>
        </is>
      </c>
      <c r="B6" s="14">
        <f>'4_売上計画'!B$11*'2_プラン設計'!$B$15</f>
        <v/>
      </c>
      <c r="C6" s="14">
        <f>'4_売上計画'!C$11*'2_プラン設計'!$B$15</f>
        <v/>
      </c>
      <c r="D6" s="14">
        <f>'4_売上計画'!D$11*'2_プラン設計'!$B$15</f>
        <v/>
      </c>
      <c r="E6" s="14">
        <f>'4_売上計画'!E$11*'2_プラン設計'!$B$15</f>
        <v/>
      </c>
      <c r="F6" s="14">
        <f>'4_売上計画'!F$11*'2_プラン設計'!$B$15</f>
        <v/>
      </c>
      <c r="G6" s="14">
        <f>'4_売上計画'!G$11*'2_プラン設計'!$B$15</f>
        <v/>
      </c>
      <c r="H6" s="14">
        <f>'4_売上計画'!H$11*'2_プラン設計'!$B$15</f>
        <v/>
      </c>
      <c r="I6" s="14">
        <f>'4_売上計画'!I$11*'2_プラン設計'!$B$15</f>
        <v/>
      </c>
      <c r="J6" s="14">
        <f>'4_売上計画'!J$11*'2_プラン設計'!$B$15</f>
        <v/>
      </c>
      <c r="K6" s="14">
        <f>'4_売上計画'!K$11*'2_プラン設計'!$B$15</f>
        <v/>
      </c>
      <c r="L6" s="14">
        <f>'4_売上計画'!L$11*'2_プラン設計'!$B$15</f>
        <v/>
      </c>
      <c r="M6" s="14">
        <f>'4_売上計画'!M$11*'2_プラン設計'!$B$15</f>
        <v/>
      </c>
      <c r="N6" s="14">
        <f>'4_売上計画'!N$11*'2_プラン設計'!$B$15</f>
        <v/>
      </c>
      <c r="O6" s="14">
        <f>'4_売上計画'!O$11*'2_プラン設計'!$B$15</f>
        <v/>
      </c>
      <c r="P6" s="14">
        <f>'4_売上計画'!P$11*'2_プラン設計'!$B$15</f>
        <v/>
      </c>
      <c r="Q6" s="14">
        <f>'4_売上計画'!Q$11*'2_プラン設計'!$B$15</f>
        <v/>
      </c>
      <c r="R6" s="14">
        <f>'4_売上計画'!R$11*'2_プラン設計'!$B$15</f>
        <v/>
      </c>
      <c r="S6" s="14">
        <f>'4_売上計画'!S$11*'2_プラン設計'!$B$15</f>
        <v/>
      </c>
      <c r="T6" s="14">
        <f>'4_売上計画'!T$11*'2_プラン設計'!$B$15</f>
        <v/>
      </c>
      <c r="U6" s="14">
        <f>'4_売上計画'!U$11*'2_プラン設計'!$B$15</f>
        <v/>
      </c>
      <c r="V6" s="14">
        <f>'4_売上計画'!V$11*'2_プラン設計'!$B$15</f>
        <v/>
      </c>
      <c r="W6" s="14">
        <f>'4_売上計画'!W$11*'2_プラン設計'!$B$15</f>
        <v/>
      </c>
      <c r="X6" s="14">
        <f>'4_売上計画'!X$11*'2_プラン設計'!$B$15</f>
        <v/>
      </c>
      <c r="Y6" s="14">
        <f>'4_売上計画'!Y$11*'2_プラン設計'!$B$15</f>
        <v/>
      </c>
      <c r="Z6" s="14">
        <f>'4_売上計画'!Z$11*'2_プラン設計'!$B$15</f>
        <v/>
      </c>
      <c r="AA6" s="14">
        <f>'4_売上計画'!AA$11*'2_プラン設計'!$B$15</f>
        <v/>
      </c>
      <c r="AB6" s="14">
        <f>'4_売上計画'!AB$11*'2_プラン設計'!$B$15</f>
        <v/>
      </c>
      <c r="AC6" s="14">
        <f>'4_売上計画'!AC$11*'2_プラン設計'!$B$15</f>
        <v/>
      </c>
      <c r="AD6" s="14">
        <f>'4_売上計画'!AD$11*'2_プラン設計'!$B$15</f>
        <v/>
      </c>
      <c r="AE6" s="14">
        <f>'4_売上計画'!AE$11*'2_プラン設計'!$B$15</f>
        <v/>
      </c>
      <c r="AF6" s="14">
        <f>'4_売上計画'!AF$11*'2_プラン設計'!$B$15</f>
        <v/>
      </c>
      <c r="AG6" s="14">
        <f>'4_売上計画'!AG$11*'2_プラン設計'!$B$15</f>
        <v/>
      </c>
      <c r="AH6" s="14">
        <f>'4_売上計画'!AH$11*'2_プラン設計'!$B$15</f>
        <v/>
      </c>
      <c r="AI6" s="14">
        <f>'4_売上計画'!AI$11*'2_プラン設計'!$B$15</f>
        <v/>
      </c>
      <c r="AJ6" s="14">
        <f>'4_売上計画'!AJ$11*'2_プラン設計'!$B$15</f>
        <v/>
      </c>
      <c r="AK6" s="14">
        <f>'4_売上計画'!AK$11*'2_プラン設計'!$B$15</f>
        <v/>
      </c>
    </row>
    <row r="7" ht="20" customHeight="1">
      <c r="A7" s="3" t="inlineStr">
        <is>
          <t>原価：ライトニング（1ヶ月）</t>
        </is>
      </c>
      <c r="B7" s="14">
        <f>'4_売上計画'!B$12*'2_プラン設計'!$C$15</f>
        <v/>
      </c>
      <c r="C7" s="14">
        <f>'4_売上計画'!C$12*'2_プラン設計'!$C$15</f>
        <v/>
      </c>
      <c r="D7" s="14">
        <f>'4_売上計画'!D$12*'2_プラン設計'!$C$15</f>
        <v/>
      </c>
      <c r="E7" s="14">
        <f>'4_売上計画'!E$12*'2_プラン設計'!$C$15</f>
        <v/>
      </c>
      <c r="F7" s="14">
        <f>'4_売上計画'!F$12*'2_プラン設計'!$C$15</f>
        <v/>
      </c>
      <c r="G7" s="14">
        <f>'4_売上計画'!G$12*'2_プラン設計'!$C$15</f>
        <v/>
      </c>
      <c r="H7" s="14">
        <f>'4_売上計画'!H$12*'2_プラン設計'!$C$15</f>
        <v/>
      </c>
      <c r="I7" s="14">
        <f>'4_売上計画'!I$12*'2_プラン設計'!$C$15</f>
        <v/>
      </c>
      <c r="J7" s="14">
        <f>'4_売上計画'!J$12*'2_プラン設計'!$C$15</f>
        <v/>
      </c>
      <c r="K7" s="14">
        <f>'4_売上計画'!K$12*'2_プラン設計'!$C$15</f>
        <v/>
      </c>
      <c r="L7" s="14">
        <f>'4_売上計画'!L$12*'2_プラン設計'!$C$15</f>
        <v/>
      </c>
      <c r="M7" s="14">
        <f>'4_売上計画'!M$12*'2_プラン設計'!$C$15</f>
        <v/>
      </c>
      <c r="N7" s="14">
        <f>'4_売上計画'!N$12*'2_プラン設計'!$C$15</f>
        <v/>
      </c>
      <c r="O7" s="14">
        <f>'4_売上計画'!O$12*'2_プラン設計'!$C$15</f>
        <v/>
      </c>
      <c r="P7" s="14">
        <f>'4_売上計画'!P$12*'2_プラン設計'!$C$15</f>
        <v/>
      </c>
      <c r="Q7" s="14">
        <f>'4_売上計画'!Q$12*'2_プラン設計'!$C$15</f>
        <v/>
      </c>
      <c r="R7" s="14">
        <f>'4_売上計画'!R$12*'2_プラン設計'!$C$15</f>
        <v/>
      </c>
      <c r="S7" s="14">
        <f>'4_売上計画'!S$12*'2_プラン設計'!$C$15</f>
        <v/>
      </c>
      <c r="T7" s="14">
        <f>'4_売上計画'!T$12*'2_プラン設計'!$C$15</f>
        <v/>
      </c>
      <c r="U7" s="14">
        <f>'4_売上計画'!U$12*'2_プラン設計'!$C$15</f>
        <v/>
      </c>
      <c r="V7" s="14">
        <f>'4_売上計画'!V$12*'2_プラン設計'!$C$15</f>
        <v/>
      </c>
      <c r="W7" s="14">
        <f>'4_売上計画'!W$12*'2_プラン設計'!$C$15</f>
        <v/>
      </c>
      <c r="X7" s="14">
        <f>'4_売上計画'!X$12*'2_プラン設計'!$C$15</f>
        <v/>
      </c>
      <c r="Y7" s="14">
        <f>'4_売上計画'!Y$12*'2_プラン設計'!$C$15</f>
        <v/>
      </c>
      <c r="Z7" s="14">
        <f>'4_売上計画'!Z$12*'2_プラン設計'!$C$15</f>
        <v/>
      </c>
      <c r="AA7" s="14">
        <f>'4_売上計画'!AA$12*'2_プラン設計'!$C$15</f>
        <v/>
      </c>
      <c r="AB7" s="14">
        <f>'4_売上計画'!AB$12*'2_プラン設計'!$C$15</f>
        <v/>
      </c>
      <c r="AC7" s="14">
        <f>'4_売上計画'!AC$12*'2_プラン設計'!$C$15</f>
        <v/>
      </c>
      <c r="AD7" s="14">
        <f>'4_売上計画'!AD$12*'2_プラン設計'!$C$15</f>
        <v/>
      </c>
      <c r="AE7" s="14">
        <f>'4_売上計画'!AE$12*'2_プラン設計'!$C$15</f>
        <v/>
      </c>
      <c r="AF7" s="14">
        <f>'4_売上計画'!AF$12*'2_プラン設計'!$C$15</f>
        <v/>
      </c>
      <c r="AG7" s="14">
        <f>'4_売上計画'!AG$12*'2_プラン設計'!$C$15</f>
        <v/>
      </c>
      <c r="AH7" s="14">
        <f>'4_売上計画'!AH$12*'2_プラン設計'!$C$15</f>
        <v/>
      </c>
      <c r="AI7" s="14">
        <f>'4_売上計画'!AI$12*'2_プラン設計'!$C$15</f>
        <v/>
      </c>
      <c r="AJ7" s="14">
        <f>'4_売上計画'!AJ$12*'2_プラン設計'!$C$15</f>
        <v/>
      </c>
      <c r="AK7" s="14">
        <f>'4_売上計画'!AK$12*'2_プラン設計'!$C$15</f>
        <v/>
      </c>
    </row>
    <row r="8" ht="20" customHeight="1">
      <c r="A8" s="3" t="inlineStr">
        <is>
          <t>原価：生成AI研修</t>
        </is>
      </c>
      <c r="B8" s="14">
        <f>'4_売上計画'!B$13*'2_プラン設計'!$D$15</f>
        <v/>
      </c>
      <c r="C8" s="14">
        <f>'4_売上計画'!C$13*'2_プラン設計'!$D$15</f>
        <v/>
      </c>
      <c r="D8" s="14">
        <f>'4_売上計画'!D$13*'2_プラン設計'!$D$15</f>
        <v/>
      </c>
      <c r="E8" s="14">
        <f>'4_売上計画'!E$13*'2_プラン設計'!$D$15</f>
        <v/>
      </c>
      <c r="F8" s="14">
        <f>'4_売上計画'!F$13*'2_プラン設計'!$D$15</f>
        <v/>
      </c>
      <c r="G8" s="14">
        <f>'4_売上計画'!G$13*'2_プラン設計'!$D$15</f>
        <v/>
      </c>
      <c r="H8" s="14">
        <f>'4_売上計画'!H$13*'2_プラン設計'!$D$15</f>
        <v/>
      </c>
      <c r="I8" s="14">
        <f>'4_売上計画'!I$13*'2_プラン設計'!$D$15</f>
        <v/>
      </c>
      <c r="J8" s="14">
        <f>'4_売上計画'!J$13*'2_プラン設計'!$D$15</f>
        <v/>
      </c>
      <c r="K8" s="14">
        <f>'4_売上計画'!K$13*'2_プラン設計'!$D$15</f>
        <v/>
      </c>
      <c r="L8" s="14">
        <f>'4_売上計画'!L$13*'2_プラン設計'!$D$15</f>
        <v/>
      </c>
      <c r="M8" s="14">
        <f>'4_売上計画'!M$13*'2_プラン設計'!$D$15</f>
        <v/>
      </c>
      <c r="N8" s="14">
        <f>'4_売上計画'!N$13*'2_プラン設計'!$D$15</f>
        <v/>
      </c>
      <c r="O8" s="14">
        <f>'4_売上計画'!O$13*'2_プラン設計'!$D$15</f>
        <v/>
      </c>
      <c r="P8" s="14">
        <f>'4_売上計画'!P$13*'2_プラン設計'!$D$15</f>
        <v/>
      </c>
      <c r="Q8" s="14">
        <f>'4_売上計画'!Q$13*'2_プラン設計'!$D$15</f>
        <v/>
      </c>
      <c r="R8" s="14">
        <f>'4_売上計画'!R$13*'2_プラン設計'!$D$15</f>
        <v/>
      </c>
      <c r="S8" s="14">
        <f>'4_売上計画'!S$13*'2_プラン設計'!$D$15</f>
        <v/>
      </c>
      <c r="T8" s="14">
        <f>'4_売上計画'!T$13*'2_プラン設計'!$D$15</f>
        <v/>
      </c>
      <c r="U8" s="14">
        <f>'4_売上計画'!U$13*'2_プラン設計'!$D$15</f>
        <v/>
      </c>
      <c r="V8" s="14">
        <f>'4_売上計画'!V$13*'2_プラン設計'!$D$15</f>
        <v/>
      </c>
      <c r="W8" s="14">
        <f>'4_売上計画'!W$13*'2_プラン設計'!$D$15</f>
        <v/>
      </c>
      <c r="X8" s="14">
        <f>'4_売上計画'!X$13*'2_プラン設計'!$D$15</f>
        <v/>
      </c>
      <c r="Y8" s="14">
        <f>'4_売上計画'!Y$13*'2_プラン設計'!$D$15</f>
        <v/>
      </c>
      <c r="Z8" s="14">
        <f>'4_売上計画'!Z$13*'2_プラン設計'!$D$15</f>
        <v/>
      </c>
      <c r="AA8" s="14">
        <f>'4_売上計画'!AA$13*'2_プラン設計'!$D$15</f>
        <v/>
      </c>
      <c r="AB8" s="14">
        <f>'4_売上計画'!AB$13*'2_プラン設計'!$D$15</f>
        <v/>
      </c>
      <c r="AC8" s="14">
        <f>'4_売上計画'!AC$13*'2_プラン設計'!$D$15</f>
        <v/>
      </c>
      <c r="AD8" s="14">
        <f>'4_売上計画'!AD$13*'2_プラン設計'!$D$15</f>
        <v/>
      </c>
      <c r="AE8" s="14">
        <f>'4_売上計画'!AE$13*'2_プラン設計'!$D$15</f>
        <v/>
      </c>
      <c r="AF8" s="14">
        <f>'4_売上計画'!AF$13*'2_プラン設計'!$D$15</f>
        <v/>
      </c>
      <c r="AG8" s="14">
        <f>'4_売上計画'!AG$13*'2_プラン設計'!$D$15</f>
        <v/>
      </c>
      <c r="AH8" s="14">
        <f>'4_売上計画'!AH$13*'2_プラン設計'!$D$15</f>
        <v/>
      </c>
      <c r="AI8" s="14">
        <f>'4_売上計画'!AI$13*'2_プラン設計'!$D$15</f>
        <v/>
      </c>
      <c r="AJ8" s="14">
        <f>'4_売上計画'!AJ$13*'2_プラン設計'!$D$15</f>
        <v/>
      </c>
      <c r="AK8" s="14">
        <f>'4_売上計画'!AK$13*'2_プラン設計'!$D$15</f>
        <v/>
      </c>
    </row>
    <row r="9" ht="20" customHeight="1">
      <c r="A9" s="3" t="inlineStr">
        <is>
          <t>原価合計</t>
        </is>
      </c>
      <c r="B9" s="14">
        <f>SUM(B$6:B$8)</f>
        <v/>
      </c>
      <c r="C9" s="14">
        <f>SUM(C$6:C$8)</f>
        <v/>
      </c>
      <c r="D9" s="14">
        <f>SUM(D$6:D$8)</f>
        <v/>
      </c>
      <c r="E9" s="14">
        <f>SUM(E$6:E$8)</f>
        <v/>
      </c>
      <c r="F9" s="14">
        <f>SUM(F$6:F$8)</f>
        <v/>
      </c>
      <c r="G9" s="14">
        <f>SUM(G$6:G$8)</f>
        <v/>
      </c>
      <c r="H9" s="14">
        <f>SUM(H$6:H$8)</f>
        <v/>
      </c>
      <c r="I9" s="14">
        <f>SUM(I$6:I$8)</f>
        <v/>
      </c>
      <c r="J9" s="14">
        <f>SUM(J$6:J$8)</f>
        <v/>
      </c>
      <c r="K9" s="14">
        <f>SUM(K$6:K$8)</f>
        <v/>
      </c>
      <c r="L9" s="14">
        <f>SUM(L$6:L$8)</f>
        <v/>
      </c>
      <c r="M9" s="14">
        <f>SUM(M$6:M$8)</f>
        <v/>
      </c>
      <c r="N9" s="14">
        <f>SUM(N$6:N$8)</f>
        <v/>
      </c>
      <c r="O9" s="14">
        <f>SUM(O$6:O$8)</f>
        <v/>
      </c>
      <c r="P9" s="14">
        <f>SUM(P$6:P$8)</f>
        <v/>
      </c>
      <c r="Q9" s="14">
        <f>SUM(Q$6:Q$8)</f>
        <v/>
      </c>
      <c r="R9" s="14">
        <f>SUM(R$6:R$8)</f>
        <v/>
      </c>
      <c r="S9" s="14">
        <f>SUM(S$6:S$8)</f>
        <v/>
      </c>
      <c r="T9" s="14">
        <f>SUM(T$6:T$8)</f>
        <v/>
      </c>
      <c r="U9" s="14">
        <f>SUM(U$6:U$8)</f>
        <v/>
      </c>
      <c r="V9" s="14">
        <f>SUM(V$6:V$8)</f>
        <v/>
      </c>
      <c r="W9" s="14">
        <f>SUM(W$6:W$8)</f>
        <v/>
      </c>
      <c r="X9" s="14">
        <f>SUM(X$6:X$8)</f>
        <v/>
      </c>
      <c r="Y9" s="14">
        <f>SUM(Y$6:Y$8)</f>
        <v/>
      </c>
      <c r="Z9" s="14">
        <f>SUM(Z$6:Z$8)</f>
        <v/>
      </c>
      <c r="AA9" s="14">
        <f>SUM(AA$6:AA$8)</f>
        <v/>
      </c>
      <c r="AB9" s="14">
        <f>SUM(AB$6:AB$8)</f>
        <v/>
      </c>
      <c r="AC9" s="14">
        <f>SUM(AC$6:AC$8)</f>
        <v/>
      </c>
      <c r="AD9" s="14">
        <f>SUM(AD$6:AD$8)</f>
        <v/>
      </c>
      <c r="AE9" s="14">
        <f>SUM(AE$6:AE$8)</f>
        <v/>
      </c>
      <c r="AF9" s="14">
        <f>SUM(AF$6:AF$8)</f>
        <v/>
      </c>
      <c r="AG9" s="14">
        <f>SUM(AG$6:AG$8)</f>
        <v/>
      </c>
      <c r="AH9" s="14">
        <f>SUM(AH$6:AH$8)</f>
        <v/>
      </c>
      <c r="AI9" s="14">
        <f>SUM(AI$6:AI$8)</f>
        <v/>
      </c>
      <c r="AJ9" s="14">
        <f>SUM(AJ$6:AJ$8)</f>
        <v/>
      </c>
      <c r="AK9" s="14">
        <f>SUM(AK$6:AK$8)</f>
        <v/>
      </c>
    </row>
    <row r="11" ht="20" customHeight="1">
      <c r="A11" s="5" t="inlineStr">
        <is>
          <t>販管費（固定）</t>
        </is>
      </c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5" t="n"/>
    </row>
    <row r="12" ht="20" customHeight="1">
      <c r="A12" s="3" t="inlineStr">
        <is>
          <t>マーケ費</t>
        </is>
      </c>
      <c r="B12" s="14">
        <f>Mkt_Fixed</f>
        <v/>
      </c>
      <c r="C12" s="14">
        <f>Mkt_Fixed</f>
        <v/>
      </c>
      <c r="D12" s="14">
        <f>Mkt_Fixed</f>
        <v/>
      </c>
      <c r="E12" s="14">
        <f>Mkt_Fixed</f>
        <v/>
      </c>
      <c r="F12" s="14">
        <f>Mkt_Fixed</f>
        <v/>
      </c>
      <c r="G12" s="14">
        <f>Mkt_Fixed</f>
        <v/>
      </c>
      <c r="H12" s="14">
        <f>Mkt_Fixed</f>
        <v/>
      </c>
      <c r="I12" s="14">
        <f>Mkt_Fixed</f>
        <v/>
      </c>
      <c r="J12" s="14">
        <f>Mkt_Fixed</f>
        <v/>
      </c>
      <c r="K12" s="14">
        <f>Mkt_Fixed</f>
        <v/>
      </c>
      <c r="L12" s="14">
        <f>Mkt_Fixed</f>
        <v/>
      </c>
      <c r="M12" s="14">
        <f>Mkt_Fixed</f>
        <v/>
      </c>
      <c r="N12" s="14">
        <f>Mkt_Fixed</f>
        <v/>
      </c>
      <c r="O12" s="14">
        <f>Mkt_Fixed</f>
        <v/>
      </c>
      <c r="P12" s="14">
        <f>Mkt_Fixed</f>
        <v/>
      </c>
      <c r="Q12" s="14">
        <f>Mkt_Fixed</f>
        <v/>
      </c>
      <c r="R12" s="14">
        <f>Mkt_Fixed</f>
        <v/>
      </c>
      <c r="S12" s="14">
        <f>Mkt_Fixed</f>
        <v/>
      </c>
      <c r="T12" s="14">
        <f>Mkt_Fixed</f>
        <v/>
      </c>
      <c r="U12" s="14">
        <f>Mkt_Fixed</f>
        <v/>
      </c>
      <c r="V12" s="14">
        <f>Mkt_Fixed</f>
        <v/>
      </c>
      <c r="W12" s="14">
        <f>Mkt_Fixed</f>
        <v/>
      </c>
      <c r="X12" s="14">
        <f>Mkt_Fixed</f>
        <v/>
      </c>
      <c r="Y12" s="14">
        <f>Mkt_Fixed</f>
        <v/>
      </c>
      <c r="Z12" s="14">
        <f>Mkt_Fixed</f>
        <v/>
      </c>
      <c r="AA12" s="14">
        <f>Mkt_Fixed</f>
        <v/>
      </c>
      <c r="AB12" s="14">
        <f>Mkt_Fixed</f>
        <v/>
      </c>
      <c r="AC12" s="14">
        <f>Mkt_Fixed</f>
        <v/>
      </c>
      <c r="AD12" s="14">
        <f>Mkt_Fixed</f>
        <v/>
      </c>
      <c r="AE12" s="14">
        <f>Mkt_Fixed</f>
        <v/>
      </c>
      <c r="AF12" s="14">
        <f>Mkt_Fixed</f>
        <v/>
      </c>
      <c r="AG12" s="14">
        <f>Mkt_Fixed</f>
        <v/>
      </c>
      <c r="AH12" s="14">
        <f>Mkt_Fixed</f>
        <v/>
      </c>
      <c r="AI12" s="14">
        <f>Mkt_Fixed</f>
        <v/>
      </c>
      <c r="AJ12" s="14">
        <f>Mkt_Fixed</f>
        <v/>
      </c>
      <c r="AK12" s="14">
        <f>Mkt_Fixed</f>
        <v/>
      </c>
    </row>
    <row r="13" ht="20" customHeight="1">
      <c r="A13" s="3" t="inlineStr">
        <is>
          <t>ツール費</t>
        </is>
      </c>
      <c r="B13" s="14">
        <f>Tools_Fixed</f>
        <v/>
      </c>
      <c r="C13" s="14">
        <f>Tools_Fixed</f>
        <v/>
      </c>
      <c r="D13" s="14">
        <f>Tools_Fixed</f>
        <v/>
      </c>
      <c r="E13" s="14">
        <f>Tools_Fixed</f>
        <v/>
      </c>
      <c r="F13" s="14">
        <f>Tools_Fixed</f>
        <v/>
      </c>
      <c r="G13" s="14">
        <f>Tools_Fixed</f>
        <v/>
      </c>
      <c r="H13" s="14">
        <f>Tools_Fixed</f>
        <v/>
      </c>
      <c r="I13" s="14">
        <f>Tools_Fixed</f>
        <v/>
      </c>
      <c r="J13" s="14">
        <f>Tools_Fixed</f>
        <v/>
      </c>
      <c r="K13" s="14">
        <f>Tools_Fixed</f>
        <v/>
      </c>
      <c r="L13" s="14">
        <f>Tools_Fixed</f>
        <v/>
      </c>
      <c r="M13" s="14">
        <f>Tools_Fixed</f>
        <v/>
      </c>
      <c r="N13" s="14">
        <f>Tools_Fixed</f>
        <v/>
      </c>
      <c r="O13" s="14">
        <f>Tools_Fixed</f>
        <v/>
      </c>
      <c r="P13" s="14">
        <f>Tools_Fixed</f>
        <v/>
      </c>
      <c r="Q13" s="14">
        <f>Tools_Fixed</f>
        <v/>
      </c>
      <c r="R13" s="14">
        <f>Tools_Fixed</f>
        <v/>
      </c>
      <c r="S13" s="14">
        <f>Tools_Fixed</f>
        <v/>
      </c>
      <c r="T13" s="14">
        <f>Tools_Fixed</f>
        <v/>
      </c>
      <c r="U13" s="14">
        <f>Tools_Fixed</f>
        <v/>
      </c>
      <c r="V13" s="14">
        <f>Tools_Fixed</f>
        <v/>
      </c>
      <c r="W13" s="14">
        <f>Tools_Fixed</f>
        <v/>
      </c>
      <c r="X13" s="14">
        <f>Tools_Fixed</f>
        <v/>
      </c>
      <c r="Y13" s="14">
        <f>Tools_Fixed</f>
        <v/>
      </c>
      <c r="Z13" s="14">
        <f>Tools_Fixed</f>
        <v/>
      </c>
      <c r="AA13" s="14">
        <f>Tools_Fixed</f>
        <v/>
      </c>
      <c r="AB13" s="14">
        <f>Tools_Fixed</f>
        <v/>
      </c>
      <c r="AC13" s="14">
        <f>Tools_Fixed</f>
        <v/>
      </c>
      <c r="AD13" s="14">
        <f>Tools_Fixed</f>
        <v/>
      </c>
      <c r="AE13" s="14">
        <f>Tools_Fixed</f>
        <v/>
      </c>
      <c r="AF13" s="14">
        <f>Tools_Fixed</f>
        <v/>
      </c>
      <c r="AG13" s="14">
        <f>Tools_Fixed</f>
        <v/>
      </c>
      <c r="AH13" s="14">
        <f>Tools_Fixed</f>
        <v/>
      </c>
      <c r="AI13" s="14">
        <f>Tools_Fixed</f>
        <v/>
      </c>
      <c r="AJ13" s="14">
        <f>Tools_Fixed</f>
        <v/>
      </c>
      <c r="AK13" s="14">
        <f>Tools_Fixed</f>
        <v/>
      </c>
    </row>
    <row r="14" ht="20" customHeight="1">
      <c r="A14" s="3" t="inlineStr">
        <is>
          <t>バックオフィス</t>
        </is>
      </c>
      <c r="B14" s="14">
        <f>BackOffice_Fixed</f>
        <v/>
      </c>
      <c r="C14" s="14">
        <f>BackOffice_Fixed</f>
        <v/>
      </c>
      <c r="D14" s="14">
        <f>BackOffice_Fixed</f>
        <v/>
      </c>
      <c r="E14" s="14">
        <f>BackOffice_Fixed</f>
        <v/>
      </c>
      <c r="F14" s="14">
        <f>BackOffice_Fixed</f>
        <v/>
      </c>
      <c r="G14" s="14">
        <f>BackOffice_Fixed</f>
        <v/>
      </c>
      <c r="H14" s="14">
        <f>BackOffice_Fixed</f>
        <v/>
      </c>
      <c r="I14" s="14">
        <f>BackOffice_Fixed</f>
        <v/>
      </c>
      <c r="J14" s="14">
        <f>BackOffice_Fixed</f>
        <v/>
      </c>
      <c r="K14" s="14">
        <f>BackOffice_Fixed</f>
        <v/>
      </c>
      <c r="L14" s="14">
        <f>BackOffice_Fixed</f>
        <v/>
      </c>
      <c r="M14" s="14">
        <f>BackOffice_Fixed</f>
        <v/>
      </c>
      <c r="N14" s="14">
        <f>BackOffice_Fixed</f>
        <v/>
      </c>
      <c r="O14" s="14">
        <f>BackOffice_Fixed</f>
        <v/>
      </c>
      <c r="P14" s="14">
        <f>BackOffice_Fixed</f>
        <v/>
      </c>
      <c r="Q14" s="14">
        <f>BackOffice_Fixed</f>
        <v/>
      </c>
      <c r="R14" s="14">
        <f>BackOffice_Fixed</f>
        <v/>
      </c>
      <c r="S14" s="14">
        <f>BackOffice_Fixed</f>
        <v/>
      </c>
      <c r="T14" s="14">
        <f>BackOffice_Fixed</f>
        <v/>
      </c>
      <c r="U14" s="14">
        <f>BackOffice_Fixed</f>
        <v/>
      </c>
      <c r="V14" s="14">
        <f>BackOffice_Fixed</f>
        <v/>
      </c>
      <c r="W14" s="14">
        <f>BackOffice_Fixed</f>
        <v/>
      </c>
      <c r="X14" s="14">
        <f>BackOffice_Fixed</f>
        <v/>
      </c>
      <c r="Y14" s="14">
        <f>BackOffice_Fixed</f>
        <v/>
      </c>
      <c r="Z14" s="14">
        <f>BackOffice_Fixed</f>
        <v/>
      </c>
      <c r="AA14" s="14">
        <f>BackOffice_Fixed</f>
        <v/>
      </c>
      <c r="AB14" s="14">
        <f>BackOffice_Fixed</f>
        <v/>
      </c>
      <c r="AC14" s="14">
        <f>BackOffice_Fixed</f>
        <v/>
      </c>
      <c r="AD14" s="14">
        <f>BackOffice_Fixed</f>
        <v/>
      </c>
      <c r="AE14" s="14">
        <f>BackOffice_Fixed</f>
        <v/>
      </c>
      <c r="AF14" s="14">
        <f>BackOffice_Fixed</f>
        <v/>
      </c>
      <c r="AG14" s="14">
        <f>BackOffice_Fixed</f>
        <v/>
      </c>
      <c r="AH14" s="14">
        <f>BackOffice_Fixed</f>
        <v/>
      </c>
      <c r="AI14" s="14">
        <f>BackOffice_Fixed</f>
        <v/>
      </c>
      <c r="AJ14" s="14">
        <f>BackOffice_Fixed</f>
        <v/>
      </c>
      <c r="AK14" s="14">
        <f>BackOffice_Fixed</f>
        <v/>
      </c>
    </row>
    <row r="15" ht="20" customHeight="1">
      <c r="A15" s="3" t="inlineStr">
        <is>
          <t>その他固定費</t>
        </is>
      </c>
      <c r="B15" s="14">
        <f>Other_Fixed</f>
        <v/>
      </c>
      <c r="C15" s="14">
        <f>Other_Fixed</f>
        <v/>
      </c>
      <c r="D15" s="14">
        <f>Other_Fixed</f>
        <v/>
      </c>
      <c r="E15" s="14">
        <f>Other_Fixed</f>
        <v/>
      </c>
      <c r="F15" s="14">
        <f>Other_Fixed</f>
        <v/>
      </c>
      <c r="G15" s="14">
        <f>Other_Fixed</f>
        <v/>
      </c>
      <c r="H15" s="14">
        <f>Other_Fixed</f>
        <v/>
      </c>
      <c r="I15" s="14">
        <f>Other_Fixed</f>
        <v/>
      </c>
      <c r="J15" s="14">
        <f>Other_Fixed</f>
        <v/>
      </c>
      <c r="K15" s="14">
        <f>Other_Fixed</f>
        <v/>
      </c>
      <c r="L15" s="14">
        <f>Other_Fixed</f>
        <v/>
      </c>
      <c r="M15" s="14">
        <f>Other_Fixed</f>
        <v/>
      </c>
      <c r="N15" s="14">
        <f>Other_Fixed</f>
        <v/>
      </c>
      <c r="O15" s="14">
        <f>Other_Fixed</f>
        <v/>
      </c>
      <c r="P15" s="14">
        <f>Other_Fixed</f>
        <v/>
      </c>
      <c r="Q15" s="14">
        <f>Other_Fixed</f>
        <v/>
      </c>
      <c r="R15" s="14">
        <f>Other_Fixed</f>
        <v/>
      </c>
      <c r="S15" s="14">
        <f>Other_Fixed</f>
        <v/>
      </c>
      <c r="T15" s="14">
        <f>Other_Fixed</f>
        <v/>
      </c>
      <c r="U15" s="14">
        <f>Other_Fixed</f>
        <v/>
      </c>
      <c r="V15" s="14">
        <f>Other_Fixed</f>
        <v/>
      </c>
      <c r="W15" s="14">
        <f>Other_Fixed</f>
        <v/>
      </c>
      <c r="X15" s="14">
        <f>Other_Fixed</f>
        <v/>
      </c>
      <c r="Y15" s="14">
        <f>Other_Fixed</f>
        <v/>
      </c>
      <c r="Z15" s="14">
        <f>Other_Fixed</f>
        <v/>
      </c>
      <c r="AA15" s="14">
        <f>Other_Fixed</f>
        <v/>
      </c>
      <c r="AB15" s="14">
        <f>Other_Fixed</f>
        <v/>
      </c>
      <c r="AC15" s="14">
        <f>Other_Fixed</f>
        <v/>
      </c>
      <c r="AD15" s="14">
        <f>Other_Fixed</f>
        <v/>
      </c>
      <c r="AE15" s="14">
        <f>Other_Fixed</f>
        <v/>
      </c>
      <c r="AF15" s="14">
        <f>Other_Fixed</f>
        <v/>
      </c>
      <c r="AG15" s="14">
        <f>Other_Fixed</f>
        <v/>
      </c>
      <c r="AH15" s="14">
        <f>Other_Fixed</f>
        <v/>
      </c>
      <c r="AI15" s="14">
        <f>Other_Fixed</f>
        <v/>
      </c>
      <c r="AJ15" s="14">
        <f>Other_Fixed</f>
        <v/>
      </c>
      <c r="AK15" s="14">
        <f>Other_Fixed</f>
        <v/>
      </c>
    </row>
    <row r="16" ht="20" customHeight="1">
      <c r="A16" s="3" t="inlineStr">
        <is>
          <t>販管費 合計</t>
        </is>
      </c>
      <c r="B16" s="14">
        <f>SUM(B$12:B$15)</f>
        <v/>
      </c>
      <c r="C16" s="14">
        <f>SUM(C$12:C$15)</f>
        <v/>
      </c>
      <c r="D16" s="14">
        <f>SUM(D$12:D$15)</f>
        <v/>
      </c>
      <c r="E16" s="14">
        <f>SUM(E$12:E$15)</f>
        <v/>
      </c>
      <c r="F16" s="14">
        <f>SUM(F$12:F$15)</f>
        <v/>
      </c>
      <c r="G16" s="14">
        <f>SUM(G$12:G$15)</f>
        <v/>
      </c>
      <c r="H16" s="14">
        <f>SUM(H$12:H$15)</f>
        <v/>
      </c>
      <c r="I16" s="14">
        <f>SUM(I$12:I$15)</f>
        <v/>
      </c>
      <c r="J16" s="14">
        <f>SUM(J$12:J$15)</f>
        <v/>
      </c>
      <c r="K16" s="14">
        <f>SUM(K$12:K$15)</f>
        <v/>
      </c>
      <c r="L16" s="14">
        <f>SUM(L$12:L$15)</f>
        <v/>
      </c>
      <c r="M16" s="14">
        <f>SUM(M$12:M$15)</f>
        <v/>
      </c>
      <c r="N16" s="14">
        <f>SUM(N$12:N$15)</f>
        <v/>
      </c>
      <c r="O16" s="14">
        <f>SUM(O$12:O$15)</f>
        <v/>
      </c>
      <c r="P16" s="14">
        <f>SUM(P$12:P$15)</f>
        <v/>
      </c>
      <c r="Q16" s="14">
        <f>SUM(Q$12:Q$15)</f>
        <v/>
      </c>
      <c r="R16" s="14">
        <f>SUM(R$12:R$15)</f>
        <v/>
      </c>
      <c r="S16" s="14">
        <f>SUM(S$12:S$15)</f>
        <v/>
      </c>
      <c r="T16" s="14">
        <f>SUM(T$12:T$15)</f>
        <v/>
      </c>
      <c r="U16" s="14">
        <f>SUM(U$12:U$15)</f>
        <v/>
      </c>
      <c r="V16" s="14">
        <f>SUM(V$12:V$15)</f>
        <v/>
      </c>
      <c r="W16" s="14">
        <f>SUM(W$12:W$15)</f>
        <v/>
      </c>
      <c r="X16" s="14">
        <f>SUM(X$12:X$15)</f>
        <v/>
      </c>
      <c r="Y16" s="14">
        <f>SUM(Y$12:Y$15)</f>
        <v/>
      </c>
      <c r="Z16" s="14">
        <f>SUM(Z$12:Z$15)</f>
        <v/>
      </c>
      <c r="AA16" s="14">
        <f>SUM(AA$12:AA$15)</f>
        <v/>
      </c>
      <c r="AB16" s="14">
        <f>SUM(AB$12:AB$15)</f>
        <v/>
      </c>
      <c r="AC16" s="14">
        <f>SUM(AC$12:AC$15)</f>
        <v/>
      </c>
      <c r="AD16" s="14">
        <f>SUM(AD$12:AD$15)</f>
        <v/>
      </c>
      <c r="AE16" s="14">
        <f>SUM(AE$12:AE$15)</f>
        <v/>
      </c>
      <c r="AF16" s="14">
        <f>SUM(AF$12:AF$15)</f>
        <v/>
      </c>
      <c r="AG16" s="14">
        <f>SUM(AG$12:AG$15)</f>
        <v/>
      </c>
      <c r="AH16" s="14">
        <f>SUM(AH$12:AH$15)</f>
        <v/>
      </c>
      <c r="AI16" s="14">
        <f>SUM(AI$12:AI$15)</f>
        <v/>
      </c>
      <c r="AJ16" s="14">
        <f>SUM(AJ$12:AJ$15)</f>
        <v/>
      </c>
      <c r="AK16" s="14">
        <f>SUM(AK$12:AK$15)</f>
        <v/>
      </c>
    </row>
    <row r="18" ht="20" customHeight="1">
      <c r="A18" s="5" t="inlineStr">
        <is>
          <t>合計（原価＋販管費）</t>
        </is>
      </c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  <c r="AB18" s="24" t="n"/>
      <c r="AC18" s="24" t="n"/>
      <c r="AD18" s="24" t="n"/>
      <c r="AE18" s="24" t="n"/>
      <c r="AF18" s="24" t="n"/>
      <c r="AG18" s="24" t="n"/>
      <c r="AH18" s="24" t="n"/>
      <c r="AI18" s="24" t="n"/>
      <c r="AJ18" s="24" t="n"/>
      <c r="AK18" s="24" t="n"/>
      <c r="AL18" s="25" t="n"/>
    </row>
    <row r="19" ht="20" customHeight="1">
      <c r="A19" s="3" t="inlineStr">
        <is>
          <t>支出合計（P/L用）</t>
        </is>
      </c>
      <c r="B19" s="14">
        <f>B$9+B$16</f>
        <v/>
      </c>
      <c r="C19" s="14">
        <f>C$9+C$16</f>
        <v/>
      </c>
      <c r="D19" s="14">
        <f>D$9+D$16</f>
        <v/>
      </c>
      <c r="E19" s="14">
        <f>E$9+E$16</f>
        <v/>
      </c>
      <c r="F19" s="14">
        <f>F$9+F$16</f>
        <v/>
      </c>
      <c r="G19" s="14">
        <f>G$9+G$16</f>
        <v/>
      </c>
      <c r="H19" s="14">
        <f>H$9+H$16</f>
        <v/>
      </c>
      <c r="I19" s="14">
        <f>I$9+I$16</f>
        <v/>
      </c>
      <c r="J19" s="14">
        <f>J$9+J$16</f>
        <v/>
      </c>
      <c r="K19" s="14">
        <f>K$9+K$16</f>
        <v/>
      </c>
      <c r="L19" s="14">
        <f>L$9+L$16</f>
        <v/>
      </c>
      <c r="M19" s="14">
        <f>M$9+M$16</f>
        <v/>
      </c>
      <c r="N19" s="14">
        <f>N$9+N$16</f>
        <v/>
      </c>
      <c r="O19" s="14">
        <f>O$9+O$16</f>
        <v/>
      </c>
      <c r="P19" s="14">
        <f>P$9+P$16</f>
        <v/>
      </c>
      <c r="Q19" s="14">
        <f>Q$9+Q$16</f>
        <v/>
      </c>
      <c r="R19" s="14">
        <f>R$9+R$16</f>
        <v/>
      </c>
      <c r="S19" s="14">
        <f>S$9+S$16</f>
        <v/>
      </c>
      <c r="T19" s="14">
        <f>T$9+T$16</f>
        <v/>
      </c>
      <c r="U19" s="14">
        <f>U$9+U$16</f>
        <v/>
      </c>
      <c r="V19" s="14">
        <f>V$9+V$16</f>
        <v/>
      </c>
      <c r="W19" s="14">
        <f>W$9+W$16</f>
        <v/>
      </c>
      <c r="X19" s="14">
        <f>X$9+X$16</f>
        <v/>
      </c>
      <c r="Y19" s="14">
        <f>Y$9+Y$16</f>
        <v/>
      </c>
      <c r="Z19" s="14">
        <f>Z$9+Z$16</f>
        <v/>
      </c>
      <c r="AA19" s="14">
        <f>AA$9+AA$16</f>
        <v/>
      </c>
      <c r="AB19" s="14">
        <f>AB$9+AB$16</f>
        <v/>
      </c>
      <c r="AC19" s="14">
        <f>AC$9+AC$16</f>
        <v/>
      </c>
      <c r="AD19" s="14">
        <f>AD$9+AD$16</f>
        <v/>
      </c>
      <c r="AE19" s="14">
        <f>AE$9+AE$16</f>
        <v/>
      </c>
      <c r="AF19" s="14">
        <f>AF$9+AF$16</f>
        <v/>
      </c>
      <c r="AG19" s="14">
        <f>AG$9+AG$16</f>
        <v/>
      </c>
      <c r="AH19" s="14">
        <f>AH$9+AH$16</f>
        <v/>
      </c>
      <c r="AI19" s="14">
        <f>AI$9+AI$16</f>
        <v/>
      </c>
      <c r="AJ19" s="14">
        <f>AJ$9+AJ$16</f>
        <v/>
      </c>
      <c r="AK19" s="14">
        <f>AK$9+AK$16</f>
        <v/>
      </c>
    </row>
  </sheetData>
  <mergeCells count="4">
    <mergeCell ref="A1:AL1"/>
    <mergeCell ref="A5:AL5"/>
    <mergeCell ref="A18:AL18"/>
    <mergeCell ref="A11:AL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1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hidden="1" width="9" customWidth="1" min="26" max="26"/>
    <col hidden="1" width="9" customWidth="1" min="27" max="27"/>
    <col hidden="1" width="9" customWidth="1" min="28" max="28"/>
    <col hidden="1" width="9" customWidth="1" min="29" max="29"/>
    <col hidden="1" width="9" customWidth="1" min="30" max="30"/>
    <col hidden="1" width="9" customWidth="1" min="31" max="31"/>
    <col hidden="1" width="9" customWidth="1" min="32" max="32"/>
    <col hidden="1" width="9" customWidth="1" min="33" max="33"/>
    <col hidden="1" width="9" customWidth="1" min="34" max="34"/>
    <col hidden="1" width="9" customWidth="1" min="35" max="35"/>
    <col hidden="1" width="9" customWidth="1" min="36" max="36"/>
    <col hidden="1" width="9" customWidth="1" min="37" max="37"/>
  </cols>
  <sheetData>
    <row r="1" ht="26" customHeight="1">
      <c r="A1" s="4" t="inlineStr">
        <is>
          <t>損益計算書（P&amp;L）月次</t>
        </is>
      </c>
    </row>
    <row r="3">
      <c r="A3" s="1" t="inlineStr">
        <is>
          <t>項目</t>
        </is>
      </c>
      <c r="B3" s="1" t="inlineStr">
        <is>
          <t>2026-01</t>
        </is>
      </c>
      <c r="C3" s="1" t="inlineStr">
        <is>
          <t>2026-02</t>
        </is>
      </c>
      <c r="D3" s="1" t="inlineStr">
        <is>
          <t>2026-03</t>
        </is>
      </c>
      <c r="E3" s="1" t="inlineStr">
        <is>
          <t>2026-04</t>
        </is>
      </c>
      <c r="F3" s="1" t="inlineStr">
        <is>
          <t>2026-05</t>
        </is>
      </c>
      <c r="G3" s="1" t="inlineStr">
        <is>
          <t>2026-06</t>
        </is>
      </c>
      <c r="H3" s="1" t="inlineStr">
        <is>
          <t>2026-07</t>
        </is>
      </c>
      <c r="I3" s="1" t="inlineStr">
        <is>
          <t>2026-08</t>
        </is>
      </c>
      <c r="J3" s="1" t="inlineStr">
        <is>
          <t>2026-09</t>
        </is>
      </c>
      <c r="K3" s="1" t="inlineStr">
        <is>
          <t>2026-10</t>
        </is>
      </c>
      <c r="L3" s="1" t="inlineStr">
        <is>
          <t>2026-11</t>
        </is>
      </c>
      <c r="M3" s="1" t="inlineStr">
        <is>
          <t>2026-12</t>
        </is>
      </c>
      <c r="N3" s="1" t="inlineStr">
        <is>
          <t>2027-01</t>
        </is>
      </c>
      <c r="O3" s="1" t="inlineStr">
        <is>
          <t>2027-02</t>
        </is>
      </c>
      <c r="P3" s="1" t="inlineStr">
        <is>
          <t>2027-03</t>
        </is>
      </c>
      <c r="Q3" s="1" t="inlineStr">
        <is>
          <t>2027-04</t>
        </is>
      </c>
      <c r="R3" s="1" t="inlineStr">
        <is>
          <t>2027-05</t>
        </is>
      </c>
      <c r="S3" s="1" t="inlineStr">
        <is>
          <t>2027-06</t>
        </is>
      </c>
      <c r="T3" s="1" t="inlineStr">
        <is>
          <t>2027-07</t>
        </is>
      </c>
      <c r="U3" s="1" t="inlineStr">
        <is>
          <t>2027-08</t>
        </is>
      </c>
      <c r="V3" s="1" t="inlineStr">
        <is>
          <t>2027-09</t>
        </is>
      </c>
      <c r="W3" s="1" t="inlineStr">
        <is>
          <t>2027-10</t>
        </is>
      </c>
      <c r="X3" s="1" t="inlineStr">
        <is>
          <t>2027-11</t>
        </is>
      </c>
      <c r="Y3" s="1" t="inlineStr">
        <is>
          <t>2027-12</t>
        </is>
      </c>
      <c r="Z3" s="1" t="inlineStr">
        <is>
          <t>2028-01</t>
        </is>
      </c>
      <c r="AA3" s="1" t="inlineStr">
        <is>
          <t>2028-02</t>
        </is>
      </c>
      <c r="AB3" s="1" t="inlineStr">
        <is>
          <t>2028-03</t>
        </is>
      </c>
      <c r="AC3" s="1" t="inlineStr">
        <is>
          <t>2028-04</t>
        </is>
      </c>
      <c r="AD3" s="1" t="inlineStr">
        <is>
          <t>2028-05</t>
        </is>
      </c>
      <c r="AE3" s="1" t="inlineStr">
        <is>
          <t>2028-06</t>
        </is>
      </c>
      <c r="AF3" s="1" t="inlineStr">
        <is>
          <t>2028-07</t>
        </is>
      </c>
      <c r="AG3" s="1" t="inlineStr">
        <is>
          <t>2028-08</t>
        </is>
      </c>
      <c r="AH3" s="1" t="inlineStr">
        <is>
          <t>2028-09</t>
        </is>
      </c>
      <c r="AI3" s="1" t="inlineStr">
        <is>
          <t>2028-10</t>
        </is>
      </c>
      <c r="AJ3" s="1" t="inlineStr">
        <is>
          <t>2028-11</t>
        </is>
      </c>
      <c r="AK3" s="1" t="inlineStr">
        <is>
          <t>2028-12</t>
        </is>
      </c>
    </row>
    <row r="5" ht="20" customHeight="1">
      <c r="A5" s="3" t="inlineStr">
        <is>
          <t>売上高</t>
        </is>
      </c>
      <c r="B5" s="14">
        <f>'4_売上計画'!B$19</f>
        <v/>
      </c>
      <c r="C5" s="14">
        <f>'4_売上計画'!C$19</f>
        <v/>
      </c>
      <c r="D5" s="14">
        <f>'4_売上計画'!D$19</f>
        <v/>
      </c>
      <c r="E5" s="14">
        <f>'4_売上計画'!E$19</f>
        <v/>
      </c>
      <c r="F5" s="14">
        <f>'4_売上計画'!F$19</f>
        <v/>
      </c>
      <c r="G5" s="14">
        <f>'4_売上計画'!G$19</f>
        <v/>
      </c>
      <c r="H5" s="14">
        <f>'4_売上計画'!H$19</f>
        <v/>
      </c>
      <c r="I5" s="14">
        <f>'4_売上計画'!I$19</f>
        <v/>
      </c>
      <c r="J5" s="14">
        <f>'4_売上計画'!J$19</f>
        <v/>
      </c>
      <c r="K5" s="14">
        <f>'4_売上計画'!K$19</f>
        <v/>
      </c>
      <c r="L5" s="14">
        <f>'4_売上計画'!L$19</f>
        <v/>
      </c>
      <c r="M5" s="14">
        <f>'4_売上計画'!M$19</f>
        <v/>
      </c>
      <c r="N5" s="14">
        <f>'4_売上計画'!N$19</f>
        <v/>
      </c>
      <c r="O5" s="14">
        <f>'4_売上計画'!O$19</f>
        <v/>
      </c>
      <c r="P5" s="14">
        <f>'4_売上計画'!P$19</f>
        <v/>
      </c>
      <c r="Q5" s="14">
        <f>'4_売上計画'!Q$19</f>
        <v/>
      </c>
      <c r="R5" s="14">
        <f>'4_売上計画'!R$19</f>
        <v/>
      </c>
      <c r="S5" s="14">
        <f>'4_売上計画'!S$19</f>
        <v/>
      </c>
      <c r="T5" s="14">
        <f>'4_売上計画'!T$19</f>
        <v/>
      </c>
      <c r="U5" s="14">
        <f>'4_売上計画'!U$19</f>
        <v/>
      </c>
      <c r="V5" s="14">
        <f>'4_売上計画'!V$19</f>
        <v/>
      </c>
      <c r="W5" s="14">
        <f>'4_売上計画'!W$19</f>
        <v/>
      </c>
      <c r="X5" s="14">
        <f>'4_売上計画'!X$19</f>
        <v/>
      </c>
      <c r="Y5" s="14">
        <f>'4_売上計画'!Y$19</f>
        <v/>
      </c>
      <c r="Z5" s="14">
        <f>'4_売上計画'!Z$19</f>
        <v/>
      </c>
      <c r="AA5" s="14">
        <f>'4_売上計画'!AA$19</f>
        <v/>
      </c>
      <c r="AB5" s="14">
        <f>'4_売上計画'!AB$19</f>
        <v/>
      </c>
      <c r="AC5" s="14">
        <f>'4_売上計画'!AC$19</f>
        <v/>
      </c>
      <c r="AD5" s="14">
        <f>'4_売上計画'!AD$19</f>
        <v/>
      </c>
      <c r="AE5" s="14">
        <f>'4_売上計画'!AE$19</f>
        <v/>
      </c>
      <c r="AF5" s="14">
        <f>'4_売上計画'!AF$19</f>
        <v/>
      </c>
      <c r="AG5" s="14">
        <f>'4_売上計画'!AG$19</f>
        <v/>
      </c>
      <c r="AH5" s="14">
        <f>'4_売上計画'!AH$19</f>
        <v/>
      </c>
      <c r="AI5" s="14">
        <f>'4_売上計画'!AI$19</f>
        <v/>
      </c>
      <c r="AJ5" s="14">
        <f>'4_売上計画'!AJ$19</f>
        <v/>
      </c>
      <c r="AK5" s="14">
        <f>'4_売上計画'!AK$19</f>
        <v/>
      </c>
    </row>
    <row r="6" ht="20" customHeight="1">
      <c r="A6" s="3" t="inlineStr">
        <is>
          <t>原価</t>
        </is>
      </c>
      <c r="B6" s="14">
        <f>'5_原価・販管費'!B$9</f>
        <v/>
      </c>
      <c r="C6" s="14">
        <f>'5_原価・販管費'!C$9</f>
        <v/>
      </c>
      <c r="D6" s="14">
        <f>'5_原価・販管費'!D$9</f>
        <v/>
      </c>
      <c r="E6" s="14">
        <f>'5_原価・販管費'!E$9</f>
        <v/>
      </c>
      <c r="F6" s="14">
        <f>'5_原価・販管費'!F$9</f>
        <v/>
      </c>
      <c r="G6" s="14">
        <f>'5_原価・販管費'!G$9</f>
        <v/>
      </c>
      <c r="H6" s="14">
        <f>'5_原価・販管費'!H$9</f>
        <v/>
      </c>
      <c r="I6" s="14">
        <f>'5_原価・販管費'!I$9</f>
        <v/>
      </c>
      <c r="J6" s="14">
        <f>'5_原価・販管費'!J$9</f>
        <v/>
      </c>
      <c r="K6" s="14">
        <f>'5_原価・販管費'!K$9</f>
        <v/>
      </c>
      <c r="L6" s="14">
        <f>'5_原価・販管費'!L$9</f>
        <v/>
      </c>
      <c r="M6" s="14">
        <f>'5_原価・販管費'!M$9</f>
        <v/>
      </c>
      <c r="N6" s="14">
        <f>'5_原価・販管費'!N$9</f>
        <v/>
      </c>
      <c r="O6" s="14">
        <f>'5_原価・販管費'!O$9</f>
        <v/>
      </c>
      <c r="P6" s="14">
        <f>'5_原価・販管費'!P$9</f>
        <v/>
      </c>
      <c r="Q6" s="14">
        <f>'5_原価・販管費'!Q$9</f>
        <v/>
      </c>
      <c r="R6" s="14">
        <f>'5_原価・販管費'!R$9</f>
        <v/>
      </c>
      <c r="S6" s="14">
        <f>'5_原価・販管費'!S$9</f>
        <v/>
      </c>
      <c r="T6" s="14">
        <f>'5_原価・販管費'!T$9</f>
        <v/>
      </c>
      <c r="U6" s="14">
        <f>'5_原価・販管費'!U$9</f>
        <v/>
      </c>
      <c r="V6" s="14">
        <f>'5_原価・販管費'!V$9</f>
        <v/>
      </c>
      <c r="W6" s="14">
        <f>'5_原価・販管費'!W$9</f>
        <v/>
      </c>
      <c r="X6" s="14">
        <f>'5_原価・販管費'!X$9</f>
        <v/>
      </c>
      <c r="Y6" s="14">
        <f>'5_原価・販管費'!Y$9</f>
        <v/>
      </c>
      <c r="Z6" s="14">
        <f>'5_原価・販管費'!Z$9</f>
        <v/>
      </c>
      <c r="AA6" s="14">
        <f>'5_原価・販管費'!AA$9</f>
        <v/>
      </c>
      <c r="AB6" s="14">
        <f>'5_原価・販管費'!AB$9</f>
        <v/>
      </c>
      <c r="AC6" s="14">
        <f>'5_原価・販管費'!AC$9</f>
        <v/>
      </c>
      <c r="AD6" s="14">
        <f>'5_原価・販管費'!AD$9</f>
        <v/>
      </c>
      <c r="AE6" s="14">
        <f>'5_原価・販管費'!AE$9</f>
        <v/>
      </c>
      <c r="AF6" s="14">
        <f>'5_原価・販管費'!AF$9</f>
        <v/>
      </c>
      <c r="AG6" s="14">
        <f>'5_原価・販管費'!AG$9</f>
        <v/>
      </c>
      <c r="AH6" s="14">
        <f>'5_原価・販管費'!AH$9</f>
        <v/>
      </c>
      <c r="AI6" s="14">
        <f>'5_原価・販管費'!AI$9</f>
        <v/>
      </c>
      <c r="AJ6" s="14">
        <f>'5_原価・販管費'!AJ$9</f>
        <v/>
      </c>
      <c r="AK6" s="14">
        <f>'5_原価・販管費'!AK$9</f>
        <v/>
      </c>
    </row>
    <row r="7" ht="20" customHeight="1">
      <c r="A7" s="3" t="inlineStr">
        <is>
          <t>粗利</t>
        </is>
      </c>
      <c r="B7" s="14">
        <f>B$5-B$6</f>
        <v/>
      </c>
      <c r="C7" s="14">
        <f>C$5-C$6</f>
        <v/>
      </c>
      <c r="D7" s="14">
        <f>D$5-D$6</f>
        <v/>
      </c>
      <c r="E7" s="14">
        <f>E$5-E$6</f>
        <v/>
      </c>
      <c r="F7" s="14">
        <f>F$5-F$6</f>
        <v/>
      </c>
      <c r="G7" s="14">
        <f>G$5-G$6</f>
        <v/>
      </c>
      <c r="H7" s="14">
        <f>H$5-H$6</f>
        <v/>
      </c>
      <c r="I7" s="14">
        <f>I$5-I$6</f>
        <v/>
      </c>
      <c r="J7" s="14">
        <f>J$5-J$6</f>
        <v/>
      </c>
      <c r="K7" s="14">
        <f>K$5-K$6</f>
        <v/>
      </c>
      <c r="L7" s="14">
        <f>L$5-L$6</f>
        <v/>
      </c>
      <c r="M7" s="14">
        <f>M$5-M$6</f>
        <v/>
      </c>
      <c r="N7" s="14">
        <f>N$5-N$6</f>
        <v/>
      </c>
      <c r="O7" s="14">
        <f>O$5-O$6</f>
        <v/>
      </c>
      <c r="P7" s="14">
        <f>P$5-P$6</f>
        <v/>
      </c>
      <c r="Q7" s="14">
        <f>Q$5-Q$6</f>
        <v/>
      </c>
      <c r="R7" s="14">
        <f>R$5-R$6</f>
        <v/>
      </c>
      <c r="S7" s="14">
        <f>S$5-S$6</f>
        <v/>
      </c>
      <c r="T7" s="14">
        <f>T$5-T$6</f>
        <v/>
      </c>
      <c r="U7" s="14">
        <f>U$5-U$6</f>
        <v/>
      </c>
      <c r="V7" s="14">
        <f>V$5-V$6</f>
        <v/>
      </c>
      <c r="W7" s="14">
        <f>W$5-W$6</f>
        <v/>
      </c>
      <c r="X7" s="14">
        <f>X$5-X$6</f>
        <v/>
      </c>
      <c r="Y7" s="14">
        <f>Y$5-Y$6</f>
        <v/>
      </c>
      <c r="Z7" s="14">
        <f>Z$5-Z$6</f>
        <v/>
      </c>
      <c r="AA7" s="14">
        <f>AA$5-AA$6</f>
        <v/>
      </c>
      <c r="AB7" s="14">
        <f>AB$5-AB$6</f>
        <v/>
      </c>
      <c r="AC7" s="14">
        <f>AC$5-AC$6</f>
        <v/>
      </c>
      <c r="AD7" s="14">
        <f>AD$5-AD$6</f>
        <v/>
      </c>
      <c r="AE7" s="14">
        <f>AE$5-AE$6</f>
        <v/>
      </c>
      <c r="AF7" s="14">
        <f>AF$5-AF$6</f>
        <v/>
      </c>
      <c r="AG7" s="14">
        <f>AG$5-AG$6</f>
        <v/>
      </c>
      <c r="AH7" s="14">
        <f>AH$5-AH$6</f>
        <v/>
      </c>
      <c r="AI7" s="14">
        <f>AI$5-AI$6</f>
        <v/>
      </c>
      <c r="AJ7" s="14">
        <f>AJ$5-AJ$6</f>
        <v/>
      </c>
      <c r="AK7" s="14">
        <f>AK$5-AK$6</f>
        <v/>
      </c>
    </row>
    <row r="8" ht="20" customHeight="1">
      <c r="A8" s="3" t="inlineStr">
        <is>
          <t>粗利率</t>
        </is>
      </c>
      <c r="B8" s="16">
        <f>IF(B$5=0,0,B$7/B$5)</f>
        <v/>
      </c>
      <c r="C8" s="16">
        <f>IF(C$5=0,0,C$7/C$5)</f>
        <v/>
      </c>
      <c r="D8" s="16">
        <f>IF(D$5=0,0,D$7/D$5)</f>
        <v/>
      </c>
      <c r="E8" s="16">
        <f>IF(E$5=0,0,E$7/E$5)</f>
        <v/>
      </c>
      <c r="F8" s="16">
        <f>IF(F$5=0,0,F$7/F$5)</f>
        <v/>
      </c>
      <c r="G8" s="16">
        <f>IF(G$5=0,0,G$7/G$5)</f>
        <v/>
      </c>
      <c r="H8" s="16">
        <f>IF(H$5=0,0,H$7/H$5)</f>
        <v/>
      </c>
      <c r="I8" s="16">
        <f>IF(I$5=0,0,I$7/I$5)</f>
        <v/>
      </c>
      <c r="J8" s="16">
        <f>IF(J$5=0,0,J$7/J$5)</f>
        <v/>
      </c>
      <c r="K8" s="16">
        <f>IF(K$5=0,0,K$7/K$5)</f>
        <v/>
      </c>
      <c r="L8" s="16">
        <f>IF(L$5=0,0,L$7/L$5)</f>
        <v/>
      </c>
      <c r="M8" s="16">
        <f>IF(M$5=0,0,M$7/M$5)</f>
        <v/>
      </c>
      <c r="N8" s="16">
        <f>IF(N$5=0,0,N$7/N$5)</f>
        <v/>
      </c>
      <c r="O8" s="16">
        <f>IF(O$5=0,0,O$7/O$5)</f>
        <v/>
      </c>
      <c r="P8" s="16">
        <f>IF(P$5=0,0,P$7/P$5)</f>
        <v/>
      </c>
      <c r="Q8" s="16">
        <f>IF(Q$5=0,0,Q$7/Q$5)</f>
        <v/>
      </c>
      <c r="R8" s="16">
        <f>IF(R$5=0,0,R$7/R$5)</f>
        <v/>
      </c>
      <c r="S8" s="16">
        <f>IF(S$5=0,0,S$7/S$5)</f>
        <v/>
      </c>
      <c r="T8" s="16">
        <f>IF(T$5=0,0,T$7/T$5)</f>
        <v/>
      </c>
      <c r="U8" s="16">
        <f>IF(U$5=0,0,U$7/U$5)</f>
        <v/>
      </c>
      <c r="V8" s="16">
        <f>IF(V$5=0,0,V$7/V$5)</f>
        <v/>
      </c>
      <c r="W8" s="16">
        <f>IF(W$5=0,0,W$7/W$5)</f>
        <v/>
      </c>
      <c r="X8" s="16">
        <f>IF(X$5=0,0,X$7/X$5)</f>
        <v/>
      </c>
      <c r="Y8" s="16">
        <f>IF(Y$5=0,0,Y$7/Y$5)</f>
        <v/>
      </c>
      <c r="Z8" s="16">
        <f>IF(Z$5=0,0,Z$7/Z$5)</f>
        <v/>
      </c>
      <c r="AA8" s="16">
        <f>IF(AA$5=0,0,AA$7/AA$5)</f>
        <v/>
      </c>
      <c r="AB8" s="16">
        <f>IF(AB$5=0,0,AB$7/AB$5)</f>
        <v/>
      </c>
      <c r="AC8" s="16">
        <f>IF(AC$5=0,0,AC$7/AC$5)</f>
        <v/>
      </c>
      <c r="AD8" s="16">
        <f>IF(AD$5=0,0,AD$7/AD$5)</f>
        <v/>
      </c>
      <c r="AE8" s="16">
        <f>IF(AE$5=0,0,AE$7/AE$5)</f>
        <v/>
      </c>
      <c r="AF8" s="16">
        <f>IF(AF$5=0,0,AF$7/AF$5)</f>
        <v/>
      </c>
      <c r="AG8" s="16">
        <f>IF(AG$5=0,0,AG$7/AG$5)</f>
        <v/>
      </c>
      <c r="AH8" s="16">
        <f>IF(AH$5=0,0,AH$7/AH$5)</f>
        <v/>
      </c>
      <c r="AI8" s="16">
        <f>IF(AI$5=0,0,AI$7/AI$5)</f>
        <v/>
      </c>
      <c r="AJ8" s="16">
        <f>IF(AJ$5=0,0,AJ$7/AJ$5)</f>
        <v/>
      </c>
      <c r="AK8" s="16">
        <f>IF(AK$5=0,0,AK$7/AK$5)</f>
        <v/>
      </c>
    </row>
    <row r="9" ht="20" customHeight="1">
      <c r="A9" s="3" t="inlineStr">
        <is>
          <t>販管費</t>
        </is>
      </c>
      <c r="B9" s="14">
        <f>'5_原価・販管費'!B$16</f>
        <v/>
      </c>
      <c r="C9" s="14">
        <f>'5_原価・販管費'!C$16</f>
        <v/>
      </c>
      <c r="D9" s="14">
        <f>'5_原価・販管費'!D$16</f>
        <v/>
      </c>
      <c r="E9" s="14">
        <f>'5_原価・販管費'!E$16</f>
        <v/>
      </c>
      <c r="F9" s="14">
        <f>'5_原価・販管費'!F$16</f>
        <v/>
      </c>
      <c r="G9" s="14">
        <f>'5_原価・販管費'!G$16</f>
        <v/>
      </c>
      <c r="H9" s="14">
        <f>'5_原価・販管費'!H$16</f>
        <v/>
      </c>
      <c r="I9" s="14">
        <f>'5_原価・販管費'!I$16</f>
        <v/>
      </c>
      <c r="J9" s="14">
        <f>'5_原価・販管費'!J$16</f>
        <v/>
      </c>
      <c r="K9" s="14">
        <f>'5_原価・販管費'!K$16</f>
        <v/>
      </c>
      <c r="L9" s="14">
        <f>'5_原価・販管費'!L$16</f>
        <v/>
      </c>
      <c r="M9" s="14">
        <f>'5_原価・販管費'!M$16</f>
        <v/>
      </c>
      <c r="N9" s="14">
        <f>'5_原価・販管費'!N$16</f>
        <v/>
      </c>
      <c r="O9" s="14">
        <f>'5_原価・販管費'!O$16</f>
        <v/>
      </c>
      <c r="P9" s="14">
        <f>'5_原価・販管費'!P$16</f>
        <v/>
      </c>
      <c r="Q9" s="14">
        <f>'5_原価・販管費'!Q$16</f>
        <v/>
      </c>
      <c r="R9" s="14">
        <f>'5_原価・販管費'!R$16</f>
        <v/>
      </c>
      <c r="S9" s="14">
        <f>'5_原価・販管費'!S$16</f>
        <v/>
      </c>
      <c r="T9" s="14">
        <f>'5_原価・販管費'!T$16</f>
        <v/>
      </c>
      <c r="U9" s="14">
        <f>'5_原価・販管費'!U$16</f>
        <v/>
      </c>
      <c r="V9" s="14">
        <f>'5_原価・販管費'!V$16</f>
        <v/>
      </c>
      <c r="W9" s="14">
        <f>'5_原価・販管費'!W$16</f>
        <v/>
      </c>
      <c r="X9" s="14">
        <f>'5_原価・販管費'!X$16</f>
        <v/>
      </c>
      <c r="Y9" s="14">
        <f>'5_原価・販管費'!Y$16</f>
        <v/>
      </c>
      <c r="Z9" s="14">
        <f>'5_原価・販管費'!Z$16</f>
        <v/>
      </c>
      <c r="AA9" s="14">
        <f>'5_原価・販管費'!AA$16</f>
        <v/>
      </c>
      <c r="AB9" s="14">
        <f>'5_原価・販管費'!AB$16</f>
        <v/>
      </c>
      <c r="AC9" s="14">
        <f>'5_原価・販管費'!AC$16</f>
        <v/>
      </c>
      <c r="AD9" s="14">
        <f>'5_原価・販管費'!AD$16</f>
        <v/>
      </c>
      <c r="AE9" s="14">
        <f>'5_原価・販管費'!AE$16</f>
        <v/>
      </c>
      <c r="AF9" s="14">
        <f>'5_原価・販管費'!AF$16</f>
        <v/>
      </c>
      <c r="AG9" s="14">
        <f>'5_原価・販管費'!AG$16</f>
        <v/>
      </c>
      <c r="AH9" s="14">
        <f>'5_原価・販管費'!AH$16</f>
        <v/>
      </c>
      <c r="AI9" s="14">
        <f>'5_原価・販管費'!AI$16</f>
        <v/>
      </c>
      <c r="AJ9" s="14">
        <f>'5_原価・販管費'!AJ$16</f>
        <v/>
      </c>
      <c r="AK9" s="14">
        <f>'5_原価・販管費'!AK$16</f>
        <v/>
      </c>
    </row>
    <row r="10" ht="20" customHeight="1">
      <c r="A10" s="3" t="inlineStr">
        <is>
          <t>EBITDA（概算）</t>
        </is>
      </c>
      <c r="B10" s="14">
        <f>B$7-B$9</f>
        <v/>
      </c>
      <c r="C10" s="14">
        <f>C$7-C$9</f>
        <v/>
      </c>
      <c r="D10" s="14">
        <f>D$7-D$9</f>
        <v/>
      </c>
      <c r="E10" s="14">
        <f>E$7-E$9</f>
        <v/>
      </c>
      <c r="F10" s="14">
        <f>F$7-F$9</f>
        <v/>
      </c>
      <c r="G10" s="14">
        <f>G$7-G$9</f>
        <v/>
      </c>
      <c r="H10" s="14">
        <f>H$7-H$9</f>
        <v/>
      </c>
      <c r="I10" s="14">
        <f>I$7-I$9</f>
        <v/>
      </c>
      <c r="J10" s="14">
        <f>J$7-J$9</f>
        <v/>
      </c>
      <c r="K10" s="14">
        <f>K$7-K$9</f>
        <v/>
      </c>
      <c r="L10" s="14">
        <f>L$7-L$9</f>
        <v/>
      </c>
      <c r="M10" s="14">
        <f>M$7-M$9</f>
        <v/>
      </c>
      <c r="N10" s="14">
        <f>N$7-N$9</f>
        <v/>
      </c>
      <c r="O10" s="14">
        <f>O$7-O$9</f>
        <v/>
      </c>
      <c r="P10" s="14">
        <f>P$7-P$9</f>
        <v/>
      </c>
      <c r="Q10" s="14">
        <f>Q$7-Q$9</f>
        <v/>
      </c>
      <c r="R10" s="14">
        <f>R$7-R$9</f>
        <v/>
      </c>
      <c r="S10" s="14">
        <f>S$7-S$9</f>
        <v/>
      </c>
      <c r="T10" s="14">
        <f>T$7-T$9</f>
        <v/>
      </c>
      <c r="U10" s="14">
        <f>U$7-U$9</f>
        <v/>
      </c>
      <c r="V10" s="14">
        <f>V$7-V$9</f>
        <v/>
      </c>
      <c r="W10" s="14">
        <f>W$7-W$9</f>
        <v/>
      </c>
      <c r="X10" s="14">
        <f>X$7-X$9</f>
        <v/>
      </c>
      <c r="Y10" s="14">
        <f>Y$7-Y$9</f>
        <v/>
      </c>
      <c r="Z10" s="14">
        <f>Z$7-Z$9</f>
        <v/>
      </c>
      <c r="AA10" s="14">
        <f>AA$7-AA$9</f>
        <v/>
      </c>
      <c r="AB10" s="14">
        <f>AB$7-AB$9</f>
        <v/>
      </c>
      <c r="AC10" s="14">
        <f>AC$7-AC$9</f>
        <v/>
      </c>
      <c r="AD10" s="14">
        <f>AD$7-AD$9</f>
        <v/>
      </c>
      <c r="AE10" s="14">
        <f>AE$7-AE$9</f>
        <v/>
      </c>
      <c r="AF10" s="14">
        <f>AF$7-AF$9</f>
        <v/>
      </c>
      <c r="AG10" s="14">
        <f>AG$7-AG$9</f>
        <v/>
      </c>
      <c r="AH10" s="14">
        <f>AH$7-AH$9</f>
        <v/>
      </c>
      <c r="AI10" s="14">
        <f>AI$7-AI$9</f>
        <v/>
      </c>
      <c r="AJ10" s="14">
        <f>AJ$7-AJ$9</f>
        <v/>
      </c>
      <c r="AK10" s="14">
        <f>AK$7-AK$9</f>
        <v/>
      </c>
    </row>
    <row r="11" ht="20" customHeight="1">
      <c r="A11" s="3" t="inlineStr">
        <is>
          <t>EBITDA率</t>
        </is>
      </c>
      <c r="B11" s="16">
        <f>IF(B$5=0,0,B$10/B$5)</f>
        <v/>
      </c>
      <c r="C11" s="16">
        <f>IF(C$5=0,0,C$10/C$5)</f>
        <v/>
      </c>
      <c r="D11" s="16">
        <f>IF(D$5=0,0,D$10/D$5)</f>
        <v/>
      </c>
      <c r="E11" s="16">
        <f>IF(E$5=0,0,E$10/E$5)</f>
        <v/>
      </c>
      <c r="F11" s="16">
        <f>IF(F$5=0,0,F$10/F$5)</f>
        <v/>
      </c>
      <c r="G11" s="16">
        <f>IF(G$5=0,0,G$10/G$5)</f>
        <v/>
      </c>
      <c r="H11" s="16">
        <f>IF(H$5=0,0,H$10/H$5)</f>
        <v/>
      </c>
      <c r="I11" s="16">
        <f>IF(I$5=0,0,I$10/I$5)</f>
        <v/>
      </c>
      <c r="J11" s="16">
        <f>IF(J$5=0,0,J$10/J$5)</f>
        <v/>
      </c>
      <c r="K11" s="16">
        <f>IF(K$5=0,0,K$10/K$5)</f>
        <v/>
      </c>
      <c r="L11" s="16">
        <f>IF(L$5=0,0,L$10/L$5)</f>
        <v/>
      </c>
      <c r="M11" s="16">
        <f>IF(M$5=0,0,M$10/M$5)</f>
        <v/>
      </c>
      <c r="N11" s="16">
        <f>IF(N$5=0,0,N$10/N$5)</f>
        <v/>
      </c>
      <c r="O11" s="16">
        <f>IF(O$5=0,0,O$10/O$5)</f>
        <v/>
      </c>
      <c r="P11" s="16">
        <f>IF(P$5=0,0,P$10/P$5)</f>
        <v/>
      </c>
      <c r="Q11" s="16">
        <f>IF(Q$5=0,0,Q$10/Q$5)</f>
        <v/>
      </c>
      <c r="R11" s="16">
        <f>IF(R$5=0,0,R$10/R$5)</f>
        <v/>
      </c>
      <c r="S11" s="16">
        <f>IF(S$5=0,0,S$10/S$5)</f>
        <v/>
      </c>
      <c r="T11" s="16">
        <f>IF(T$5=0,0,T$10/T$5)</f>
        <v/>
      </c>
      <c r="U11" s="16">
        <f>IF(U$5=0,0,U$10/U$5)</f>
        <v/>
      </c>
      <c r="V11" s="16">
        <f>IF(V$5=0,0,V$10/V$5)</f>
        <v/>
      </c>
      <c r="W11" s="16">
        <f>IF(W$5=0,0,W$10/W$5)</f>
        <v/>
      </c>
      <c r="X11" s="16">
        <f>IF(X$5=0,0,X$10/X$5)</f>
        <v/>
      </c>
      <c r="Y11" s="16">
        <f>IF(Y$5=0,0,Y$10/Y$5)</f>
        <v/>
      </c>
      <c r="Z11" s="16">
        <f>IF(Z$5=0,0,Z$10/Z$5)</f>
        <v/>
      </c>
      <c r="AA11" s="16">
        <f>IF(AA$5=0,0,AA$10/AA$5)</f>
        <v/>
      </c>
      <c r="AB11" s="16">
        <f>IF(AB$5=0,0,AB$10/AB$5)</f>
        <v/>
      </c>
      <c r="AC11" s="16">
        <f>IF(AC$5=0,0,AC$10/AC$5)</f>
        <v/>
      </c>
      <c r="AD11" s="16">
        <f>IF(AD$5=0,0,AD$10/AD$5)</f>
        <v/>
      </c>
      <c r="AE11" s="16">
        <f>IF(AE$5=0,0,AE$10/AE$5)</f>
        <v/>
      </c>
      <c r="AF11" s="16">
        <f>IF(AF$5=0,0,AF$10/AF$5)</f>
        <v/>
      </c>
      <c r="AG11" s="16">
        <f>IF(AG$5=0,0,AG$10/AG$5)</f>
        <v/>
      </c>
      <c r="AH11" s="16">
        <f>IF(AH$5=0,0,AH$10/AH$5)</f>
        <v/>
      </c>
      <c r="AI11" s="16">
        <f>IF(AI$5=0,0,AI$10/AI$5)</f>
        <v/>
      </c>
      <c r="AJ11" s="16">
        <f>IF(AJ$5=0,0,AJ$10/AJ$5)</f>
        <v/>
      </c>
      <c r="AK11" s="16">
        <f>IF(AK$5=0,0,AK$10/AK$5)</f>
        <v/>
      </c>
    </row>
    <row r="13" ht="20" customHeight="1">
      <c r="A13" s="5" t="inlineStr">
        <is>
          <t>累計（参考）</t>
        </is>
      </c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5" t="n"/>
    </row>
    <row r="14" ht="20" customHeight="1">
      <c r="A14" s="3" t="inlineStr">
        <is>
          <t>累計売上</t>
        </is>
      </c>
      <c r="B14" s="14">
        <f>SUM($B$5:B$5)</f>
        <v/>
      </c>
      <c r="C14" s="14">
        <f>SUM($B$5:C$5)</f>
        <v/>
      </c>
      <c r="D14" s="14">
        <f>SUM($B$5:D$5)</f>
        <v/>
      </c>
      <c r="E14" s="14">
        <f>SUM($B$5:E$5)</f>
        <v/>
      </c>
      <c r="F14" s="14">
        <f>SUM($B$5:F$5)</f>
        <v/>
      </c>
      <c r="G14" s="14">
        <f>SUM($B$5:G$5)</f>
        <v/>
      </c>
      <c r="H14" s="14">
        <f>SUM($B$5:H$5)</f>
        <v/>
      </c>
      <c r="I14" s="14">
        <f>SUM($B$5:I$5)</f>
        <v/>
      </c>
      <c r="J14" s="14">
        <f>SUM($B$5:J$5)</f>
        <v/>
      </c>
      <c r="K14" s="14">
        <f>SUM($B$5:K$5)</f>
        <v/>
      </c>
      <c r="L14" s="14">
        <f>SUM($B$5:L$5)</f>
        <v/>
      </c>
      <c r="M14" s="14">
        <f>SUM($B$5:M$5)</f>
        <v/>
      </c>
      <c r="N14" s="14">
        <f>SUM($B$5:N$5)</f>
        <v/>
      </c>
      <c r="O14" s="14">
        <f>SUM($B$5:O$5)</f>
        <v/>
      </c>
      <c r="P14" s="14">
        <f>SUM($B$5:P$5)</f>
        <v/>
      </c>
      <c r="Q14" s="14">
        <f>SUM($B$5:Q$5)</f>
        <v/>
      </c>
      <c r="R14" s="14">
        <f>SUM($B$5:R$5)</f>
        <v/>
      </c>
      <c r="S14" s="14">
        <f>SUM($B$5:S$5)</f>
        <v/>
      </c>
      <c r="T14" s="14">
        <f>SUM($B$5:T$5)</f>
        <v/>
      </c>
      <c r="U14" s="14">
        <f>SUM($B$5:U$5)</f>
        <v/>
      </c>
      <c r="V14" s="14">
        <f>SUM($B$5:V$5)</f>
        <v/>
      </c>
      <c r="W14" s="14">
        <f>SUM($B$5:W$5)</f>
        <v/>
      </c>
      <c r="X14" s="14">
        <f>SUM($B$5:X$5)</f>
        <v/>
      </c>
      <c r="Y14" s="14">
        <f>SUM($B$5:Y$5)</f>
        <v/>
      </c>
      <c r="Z14" s="14">
        <f>SUM($B$5:Z$5)</f>
        <v/>
      </c>
      <c r="AA14" s="14">
        <f>SUM($B$5:AA$5)</f>
        <v/>
      </c>
      <c r="AB14" s="14">
        <f>SUM($B$5:AB$5)</f>
        <v/>
      </c>
      <c r="AC14" s="14">
        <f>SUM($B$5:AC$5)</f>
        <v/>
      </c>
      <c r="AD14" s="14">
        <f>SUM($B$5:AD$5)</f>
        <v/>
      </c>
      <c r="AE14" s="14">
        <f>SUM($B$5:AE$5)</f>
        <v/>
      </c>
      <c r="AF14" s="14">
        <f>SUM($B$5:AF$5)</f>
        <v/>
      </c>
      <c r="AG14" s="14">
        <f>SUM($B$5:AG$5)</f>
        <v/>
      </c>
      <c r="AH14" s="14">
        <f>SUM($B$5:AH$5)</f>
        <v/>
      </c>
      <c r="AI14" s="14">
        <f>SUM($B$5:AI$5)</f>
        <v/>
      </c>
      <c r="AJ14" s="14">
        <f>SUM($B$5:AJ$5)</f>
        <v/>
      </c>
      <c r="AK14" s="14">
        <f>SUM($B$5:AK$5)</f>
        <v/>
      </c>
    </row>
    <row r="15" ht="20" customHeight="1">
      <c r="A15" s="3" t="inlineStr">
        <is>
          <t>累計EBITDA</t>
        </is>
      </c>
      <c r="B15" s="14">
        <f>SUM($B$10:B$10)</f>
        <v/>
      </c>
      <c r="C15" s="14">
        <f>SUM($B$10:C$10)</f>
        <v/>
      </c>
      <c r="D15" s="14">
        <f>SUM($B$10:D$10)</f>
        <v/>
      </c>
      <c r="E15" s="14">
        <f>SUM($B$10:E$10)</f>
        <v/>
      </c>
      <c r="F15" s="14">
        <f>SUM($B$10:F$10)</f>
        <v/>
      </c>
      <c r="G15" s="14">
        <f>SUM($B$10:G$10)</f>
        <v/>
      </c>
      <c r="H15" s="14">
        <f>SUM($B$10:H$10)</f>
        <v/>
      </c>
      <c r="I15" s="14">
        <f>SUM($B$10:I$10)</f>
        <v/>
      </c>
      <c r="J15" s="14">
        <f>SUM($B$10:J$10)</f>
        <v/>
      </c>
      <c r="K15" s="14">
        <f>SUM($B$10:K$10)</f>
        <v/>
      </c>
      <c r="L15" s="14">
        <f>SUM($B$10:L$10)</f>
        <v/>
      </c>
      <c r="M15" s="14">
        <f>SUM($B$10:M$10)</f>
        <v/>
      </c>
      <c r="N15" s="14">
        <f>SUM($B$10:N$10)</f>
        <v/>
      </c>
      <c r="O15" s="14">
        <f>SUM($B$10:O$10)</f>
        <v/>
      </c>
      <c r="P15" s="14">
        <f>SUM($B$10:P$10)</f>
        <v/>
      </c>
      <c r="Q15" s="14">
        <f>SUM($B$10:Q$10)</f>
        <v/>
      </c>
      <c r="R15" s="14">
        <f>SUM($B$10:R$10)</f>
        <v/>
      </c>
      <c r="S15" s="14">
        <f>SUM($B$10:S$10)</f>
        <v/>
      </c>
      <c r="T15" s="14">
        <f>SUM($B$10:T$10)</f>
        <v/>
      </c>
      <c r="U15" s="14">
        <f>SUM($B$10:U$10)</f>
        <v/>
      </c>
      <c r="V15" s="14">
        <f>SUM($B$10:V$10)</f>
        <v/>
      </c>
      <c r="W15" s="14">
        <f>SUM($B$10:W$10)</f>
        <v/>
      </c>
      <c r="X15" s="14">
        <f>SUM($B$10:X$10)</f>
        <v/>
      </c>
      <c r="Y15" s="14">
        <f>SUM($B$10:Y$10)</f>
        <v/>
      </c>
      <c r="Z15" s="14">
        <f>SUM($B$10:Z$10)</f>
        <v/>
      </c>
      <c r="AA15" s="14">
        <f>SUM($B$10:AA$10)</f>
        <v/>
      </c>
      <c r="AB15" s="14">
        <f>SUM($B$10:AB$10)</f>
        <v/>
      </c>
      <c r="AC15" s="14">
        <f>SUM($B$10:AC$10)</f>
        <v/>
      </c>
      <c r="AD15" s="14">
        <f>SUM($B$10:AD$10)</f>
        <v/>
      </c>
      <c r="AE15" s="14">
        <f>SUM($B$10:AE$10)</f>
        <v/>
      </c>
      <c r="AF15" s="14">
        <f>SUM($B$10:AF$10)</f>
        <v/>
      </c>
      <c r="AG15" s="14">
        <f>SUM($B$10:AG$10)</f>
        <v/>
      </c>
      <c r="AH15" s="14">
        <f>SUM($B$10:AH$10)</f>
        <v/>
      </c>
      <c r="AI15" s="14">
        <f>SUM($B$10:AI$10)</f>
        <v/>
      </c>
      <c r="AJ15" s="14">
        <f>SUM($B$10:AJ$10)</f>
        <v/>
      </c>
      <c r="AK15" s="14">
        <f>SUM($B$10:AK$10)</f>
        <v/>
      </c>
    </row>
  </sheetData>
  <mergeCells count="2">
    <mergeCell ref="A1:AL1"/>
    <mergeCell ref="A13:AL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11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hidden="1" width="9" customWidth="1" min="26" max="26"/>
    <col hidden="1" width="9" customWidth="1" min="27" max="27"/>
    <col hidden="1" width="9" customWidth="1" min="28" max="28"/>
    <col hidden="1" width="9" customWidth="1" min="29" max="29"/>
    <col hidden="1" width="9" customWidth="1" min="30" max="30"/>
    <col hidden="1" width="9" customWidth="1" min="31" max="31"/>
    <col hidden="1" width="9" customWidth="1" min="32" max="32"/>
    <col hidden="1" width="9" customWidth="1" min="33" max="33"/>
    <col hidden="1" width="9" customWidth="1" min="34" max="34"/>
    <col hidden="1" width="9" customWidth="1" min="35" max="35"/>
    <col hidden="1" width="9" customWidth="1" min="36" max="36"/>
    <col hidden="1" width="9" customWidth="1" min="37" max="37"/>
  </cols>
  <sheetData>
    <row r="1" ht="26" customHeight="1">
      <c r="A1" s="4" t="inlineStr">
        <is>
          <t>キャッシュフロー（簡易）</t>
        </is>
      </c>
    </row>
    <row r="3" ht="28" customHeight="1">
      <c r="A3" s="3" t="inlineStr">
        <is>
          <t>初期現金残高（入力）</t>
        </is>
      </c>
      <c r="B3" s="10" t="n">
        <v>2000000</v>
      </c>
      <c r="C3" s="8" t="inlineStr">
        <is>
          <t>例：2,000,000円。必要に応じて変更。</t>
        </is>
      </c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  <c r="AL3" s="25" t="n"/>
    </row>
    <row r="5">
      <c r="A5" s="1" t="inlineStr">
        <is>
          <t>項目</t>
        </is>
      </c>
      <c r="B5" s="1" t="inlineStr">
        <is>
          <t>2026-01</t>
        </is>
      </c>
      <c r="C5" s="1" t="inlineStr">
        <is>
          <t>2026-02</t>
        </is>
      </c>
      <c r="D5" s="1" t="inlineStr">
        <is>
          <t>2026-03</t>
        </is>
      </c>
      <c r="E5" s="1" t="inlineStr">
        <is>
          <t>2026-04</t>
        </is>
      </c>
      <c r="F5" s="1" t="inlineStr">
        <is>
          <t>2026-05</t>
        </is>
      </c>
      <c r="G5" s="1" t="inlineStr">
        <is>
          <t>2026-06</t>
        </is>
      </c>
      <c r="H5" s="1" t="inlineStr">
        <is>
          <t>2026-07</t>
        </is>
      </c>
      <c r="I5" s="1" t="inlineStr">
        <is>
          <t>2026-08</t>
        </is>
      </c>
      <c r="J5" s="1" t="inlineStr">
        <is>
          <t>2026-09</t>
        </is>
      </c>
      <c r="K5" s="1" t="inlineStr">
        <is>
          <t>2026-10</t>
        </is>
      </c>
      <c r="L5" s="1" t="inlineStr">
        <is>
          <t>2026-11</t>
        </is>
      </c>
      <c r="M5" s="1" t="inlineStr">
        <is>
          <t>2026-12</t>
        </is>
      </c>
      <c r="N5" s="1" t="inlineStr">
        <is>
          <t>2027-01</t>
        </is>
      </c>
      <c r="O5" s="1" t="inlineStr">
        <is>
          <t>2027-02</t>
        </is>
      </c>
      <c r="P5" s="1" t="inlineStr">
        <is>
          <t>2027-03</t>
        </is>
      </c>
      <c r="Q5" s="1" t="inlineStr">
        <is>
          <t>2027-04</t>
        </is>
      </c>
      <c r="R5" s="1" t="inlineStr">
        <is>
          <t>2027-05</t>
        </is>
      </c>
      <c r="S5" s="1" t="inlineStr">
        <is>
          <t>2027-06</t>
        </is>
      </c>
      <c r="T5" s="1" t="inlineStr">
        <is>
          <t>2027-07</t>
        </is>
      </c>
      <c r="U5" s="1" t="inlineStr">
        <is>
          <t>2027-08</t>
        </is>
      </c>
      <c r="V5" s="1" t="inlineStr">
        <is>
          <t>2027-09</t>
        </is>
      </c>
      <c r="W5" s="1" t="inlineStr">
        <is>
          <t>2027-10</t>
        </is>
      </c>
      <c r="X5" s="1" t="inlineStr">
        <is>
          <t>2027-11</t>
        </is>
      </c>
      <c r="Y5" s="1" t="inlineStr">
        <is>
          <t>2027-12</t>
        </is>
      </c>
      <c r="Z5" s="1" t="inlineStr">
        <is>
          <t>2028-01</t>
        </is>
      </c>
      <c r="AA5" s="1" t="inlineStr">
        <is>
          <t>2028-02</t>
        </is>
      </c>
      <c r="AB5" s="1" t="inlineStr">
        <is>
          <t>2028-03</t>
        </is>
      </c>
      <c r="AC5" s="1" t="inlineStr">
        <is>
          <t>2028-04</t>
        </is>
      </c>
      <c r="AD5" s="1" t="inlineStr">
        <is>
          <t>2028-05</t>
        </is>
      </c>
      <c r="AE5" s="1" t="inlineStr">
        <is>
          <t>2028-06</t>
        </is>
      </c>
      <c r="AF5" s="1" t="inlineStr">
        <is>
          <t>2028-07</t>
        </is>
      </c>
      <c r="AG5" s="1" t="inlineStr">
        <is>
          <t>2028-08</t>
        </is>
      </c>
      <c r="AH5" s="1" t="inlineStr">
        <is>
          <t>2028-09</t>
        </is>
      </c>
      <c r="AI5" s="1" t="inlineStr">
        <is>
          <t>2028-10</t>
        </is>
      </c>
      <c r="AJ5" s="1" t="inlineStr">
        <is>
          <t>2028-11</t>
        </is>
      </c>
      <c r="AK5" s="1" t="inlineStr">
        <is>
          <t>2028-12</t>
        </is>
      </c>
    </row>
    <row r="7" ht="20" customHeight="1">
      <c r="A7" s="3" t="inlineStr">
        <is>
          <t>入金合計</t>
        </is>
      </c>
      <c r="B7" s="14">
        <f>'4_売上計画'!B$25</f>
        <v/>
      </c>
      <c r="C7" s="14">
        <f>'4_売上計画'!C$25</f>
        <v/>
      </c>
      <c r="D7" s="14">
        <f>'4_売上計画'!D$25</f>
        <v/>
      </c>
      <c r="E7" s="14">
        <f>'4_売上計画'!E$25</f>
        <v/>
      </c>
      <c r="F7" s="14">
        <f>'4_売上計画'!F$25</f>
        <v/>
      </c>
      <c r="G7" s="14">
        <f>'4_売上計画'!G$25</f>
        <v/>
      </c>
      <c r="H7" s="14">
        <f>'4_売上計画'!H$25</f>
        <v/>
      </c>
      <c r="I7" s="14">
        <f>'4_売上計画'!I$25</f>
        <v/>
      </c>
      <c r="J7" s="14">
        <f>'4_売上計画'!J$25</f>
        <v/>
      </c>
      <c r="K7" s="14">
        <f>'4_売上計画'!K$25</f>
        <v/>
      </c>
      <c r="L7" s="14">
        <f>'4_売上計画'!L$25</f>
        <v/>
      </c>
      <c r="M7" s="14">
        <f>'4_売上計画'!M$25</f>
        <v/>
      </c>
      <c r="N7" s="14">
        <f>'4_売上計画'!N$25</f>
        <v/>
      </c>
      <c r="O7" s="14">
        <f>'4_売上計画'!O$25</f>
        <v/>
      </c>
      <c r="P7" s="14">
        <f>'4_売上計画'!P$25</f>
        <v/>
      </c>
      <c r="Q7" s="14">
        <f>'4_売上計画'!Q$25</f>
        <v/>
      </c>
      <c r="R7" s="14">
        <f>'4_売上計画'!R$25</f>
        <v/>
      </c>
      <c r="S7" s="14">
        <f>'4_売上計画'!S$25</f>
        <v/>
      </c>
      <c r="T7" s="14">
        <f>'4_売上計画'!T$25</f>
        <v/>
      </c>
      <c r="U7" s="14">
        <f>'4_売上計画'!U$25</f>
        <v/>
      </c>
      <c r="V7" s="14">
        <f>'4_売上計画'!V$25</f>
        <v/>
      </c>
      <c r="W7" s="14">
        <f>'4_売上計画'!W$25</f>
        <v/>
      </c>
      <c r="X7" s="14">
        <f>'4_売上計画'!X$25</f>
        <v/>
      </c>
      <c r="Y7" s="14">
        <f>'4_売上計画'!Y$25</f>
        <v/>
      </c>
      <c r="Z7" s="14">
        <f>'4_売上計画'!Z$25</f>
        <v/>
      </c>
      <c r="AA7" s="14">
        <f>'4_売上計画'!AA$25</f>
        <v/>
      </c>
      <c r="AB7" s="14">
        <f>'4_売上計画'!AB$25</f>
        <v/>
      </c>
      <c r="AC7" s="14">
        <f>'4_売上計画'!AC$25</f>
        <v/>
      </c>
      <c r="AD7" s="14">
        <f>'4_売上計画'!AD$25</f>
        <v/>
      </c>
      <c r="AE7" s="14">
        <f>'4_売上計画'!AE$25</f>
        <v/>
      </c>
      <c r="AF7" s="14">
        <f>'4_売上計画'!AF$25</f>
        <v/>
      </c>
      <c r="AG7" s="14">
        <f>'4_売上計画'!AG$25</f>
        <v/>
      </c>
      <c r="AH7" s="14">
        <f>'4_売上計画'!AH$25</f>
        <v/>
      </c>
      <c r="AI7" s="14">
        <f>'4_売上計画'!AI$25</f>
        <v/>
      </c>
      <c r="AJ7" s="14">
        <f>'4_売上計画'!AJ$25</f>
        <v/>
      </c>
      <c r="AK7" s="14">
        <f>'4_売上計画'!AK$25</f>
        <v/>
      </c>
    </row>
    <row r="8" ht="20" customHeight="1">
      <c r="A8" s="3" t="inlineStr">
        <is>
          <t>支出合計</t>
        </is>
      </c>
      <c r="B8" s="14">
        <f>'5_原価・販管費'!B$19</f>
        <v/>
      </c>
      <c r="C8" s="14">
        <f>'5_原価・販管費'!C$19</f>
        <v/>
      </c>
      <c r="D8" s="14">
        <f>'5_原価・販管費'!D$19</f>
        <v/>
      </c>
      <c r="E8" s="14">
        <f>'5_原価・販管費'!E$19</f>
        <v/>
      </c>
      <c r="F8" s="14">
        <f>'5_原価・販管費'!F$19</f>
        <v/>
      </c>
      <c r="G8" s="14">
        <f>'5_原価・販管費'!G$19</f>
        <v/>
      </c>
      <c r="H8" s="14">
        <f>'5_原価・販管費'!H$19</f>
        <v/>
      </c>
      <c r="I8" s="14">
        <f>'5_原価・販管費'!I$19</f>
        <v/>
      </c>
      <c r="J8" s="14">
        <f>'5_原価・販管費'!J$19</f>
        <v/>
      </c>
      <c r="K8" s="14">
        <f>'5_原価・販管費'!K$19</f>
        <v/>
      </c>
      <c r="L8" s="14">
        <f>'5_原価・販管費'!L$19</f>
        <v/>
      </c>
      <c r="M8" s="14">
        <f>'5_原価・販管費'!M$19</f>
        <v/>
      </c>
      <c r="N8" s="14">
        <f>'5_原価・販管費'!N$19</f>
        <v/>
      </c>
      <c r="O8" s="14">
        <f>'5_原価・販管費'!O$19</f>
        <v/>
      </c>
      <c r="P8" s="14">
        <f>'5_原価・販管費'!P$19</f>
        <v/>
      </c>
      <c r="Q8" s="14">
        <f>'5_原価・販管費'!Q$19</f>
        <v/>
      </c>
      <c r="R8" s="14">
        <f>'5_原価・販管費'!R$19</f>
        <v/>
      </c>
      <c r="S8" s="14">
        <f>'5_原価・販管費'!S$19</f>
        <v/>
      </c>
      <c r="T8" s="14">
        <f>'5_原価・販管費'!T$19</f>
        <v/>
      </c>
      <c r="U8" s="14">
        <f>'5_原価・販管費'!U$19</f>
        <v/>
      </c>
      <c r="V8" s="14">
        <f>'5_原価・販管費'!V$19</f>
        <v/>
      </c>
      <c r="W8" s="14">
        <f>'5_原価・販管費'!W$19</f>
        <v/>
      </c>
      <c r="X8" s="14">
        <f>'5_原価・販管費'!X$19</f>
        <v/>
      </c>
      <c r="Y8" s="14">
        <f>'5_原価・販管費'!Y$19</f>
        <v/>
      </c>
      <c r="Z8" s="14">
        <f>'5_原価・販管費'!Z$19</f>
        <v/>
      </c>
      <c r="AA8" s="14">
        <f>'5_原価・販管費'!AA$19</f>
        <v/>
      </c>
      <c r="AB8" s="14">
        <f>'5_原価・販管費'!AB$19</f>
        <v/>
      </c>
      <c r="AC8" s="14">
        <f>'5_原価・販管費'!AC$19</f>
        <v/>
      </c>
      <c r="AD8" s="14">
        <f>'5_原価・販管費'!AD$19</f>
        <v/>
      </c>
      <c r="AE8" s="14">
        <f>'5_原価・販管費'!AE$19</f>
        <v/>
      </c>
      <c r="AF8" s="14">
        <f>'5_原価・販管費'!AF$19</f>
        <v/>
      </c>
      <c r="AG8" s="14">
        <f>'5_原価・販管費'!AG$19</f>
        <v/>
      </c>
      <c r="AH8" s="14">
        <f>'5_原価・販管費'!AH$19</f>
        <v/>
      </c>
      <c r="AI8" s="14">
        <f>'5_原価・販管費'!AI$19</f>
        <v/>
      </c>
      <c r="AJ8" s="14">
        <f>'5_原価・販管費'!AJ$19</f>
        <v/>
      </c>
      <c r="AK8" s="14">
        <f>'5_原価・販管費'!AK$19</f>
        <v/>
      </c>
    </row>
    <row r="9" ht="20" customHeight="1">
      <c r="A9" s="3" t="inlineStr">
        <is>
          <t>ネットCF</t>
        </is>
      </c>
      <c r="B9" s="14">
        <f>B$7-B$8</f>
        <v/>
      </c>
      <c r="C9" s="14">
        <f>C$7-C$8</f>
        <v/>
      </c>
      <c r="D9" s="14">
        <f>D$7-D$8</f>
        <v/>
      </c>
      <c r="E9" s="14">
        <f>E$7-E$8</f>
        <v/>
      </c>
      <c r="F9" s="14">
        <f>F$7-F$8</f>
        <v/>
      </c>
      <c r="G9" s="14">
        <f>G$7-G$8</f>
        <v/>
      </c>
      <c r="H9" s="14">
        <f>H$7-H$8</f>
        <v/>
      </c>
      <c r="I9" s="14">
        <f>I$7-I$8</f>
        <v/>
      </c>
      <c r="J9" s="14">
        <f>J$7-J$8</f>
        <v/>
      </c>
      <c r="K9" s="14">
        <f>K$7-K$8</f>
        <v/>
      </c>
      <c r="L9" s="14">
        <f>L$7-L$8</f>
        <v/>
      </c>
      <c r="M9" s="14">
        <f>M$7-M$8</f>
        <v/>
      </c>
      <c r="N9" s="14">
        <f>N$7-N$8</f>
        <v/>
      </c>
      <c r="O9" s="14">
        <f>O$7-O$8</f>
        <v/>
      </c>
      <c r="P9" s="14">
        <f>P$7-P$8</f>
        <v/>
      </c>
      <c r="Q9" s="14">
        <f>Q$7-Q$8</f>
        <v/>
      </c>
      <c r="R9" s="14">
        <f>R$7-R$8</f>
        <v/>
      </c>
      <c r="S9" s="14">
        <f>S$7-S$8</f>
        <v/>
      </c>
      <c r="T9" s="14">
        <f>T$7-T$8</f>
        <v/>
      </c>
      <c r="U9" s="14">
        <f>U$7-U$8</f>
        <v/>
      </c>
      <c r="V9" s="14">
        <f>V$7-V$8</f>
        <v/>
      </c>
      <c r="W9" s="14">
        <f>W$7-W$8</f>
        <v/>
      </c>
      <c r="X9" s="14">
        <f>X$7-X$8</f>
        <v/>
      </c>
      <c r="Y9" s="14">
        <f>Y$7-Y$8</f>
        <v/>
      </c>
      <c r="Z9" s="14">
        <f>Z$7-Z$8</f>
        <v/>
      </c>
      <c r="AA9" s="14">
        <f>AA$7-AA$8</f>
        <v/>
      </c>
      <c r="AB9" s="14">
        <f>AB$7-AB$8</f>
        <v/>
      </c>
      <c r="AC9" s="14">
        <f>AC$7-AC$8</f>
        <v/>
      </c>
      <c r="AD9" s="14">
        <f>AD$7-AD$8</f>
        <v/>
      </c>
      <c r="AE9" s="14">
        <f>AE$7-AE$8</f>
        <v/>
      </c>
      <c r="AF9" s="14">
        <f>AF$7-AF$8</f>
        <v/>
      </c>
      <c r="AG9" s="14">
        <f>AG$7-AG$8</f>
        <v/>
      </c>
      <c r="AH9" s="14">
        <f>AH$7-AH$8</f>
        <v/>
      </c>
      <c r="AI9" s="14">
        <f>AI$7-AI$8</f>
        <v/>
      </c>
      <c r="AJ9" s="14">
        <f>AJ$7-AJ$8</f>
        <v/>
      </c>
      <c r="AK9" s="14">
        <f>AK$7-AK$8</f>
        <v/>
      </c>
    </row>
    <row r="10" ht="20" customHeight="1">
      <c r="A10" s="3" t="inlineStr">
        <is>
          <t>現金残高</t>
        </is>
      </c>
      <c r="B10" s="14">
        <f>$B$3+B$9</f>
        <v/>
      </c>
      <c r="C10" s="14">
        <f>B$10+C$9</f>
        <v/>
      </c>
      <c r="D10" s="14">
        <f>C$10+D$9</f>
        <v/>
      </c>
      <c r="E10" s="14">
        <f>D$10+E$9</f>
        <v/>
      </c>
      <c r="F10" s="14">
        <f>E$10+F$9</f>
        <v/>
      </c>
      <c r="G10" s="14">
        <f>F$10+G$9</f>
        <v/>
      </c>
      <c r="H10" s="14">
        <f>G$10+H$9</f>
        <v/>
      </c>
      <c r="I10" s="14">
        <f>H$10+I$9</f>
        <v/>
      </c>
      <c r="J10" s="14">
        <f>I$10+J$9</f>
        <v/>
      </c>
      <c r="K10" s="14">
        <f>J$10+K$9</f>
        <v/>
      </c>
      <c r="L10" s="14">
        <f>K$10+L$9</f>
        <v/>
      </c>
      <c r="M10" s="14">
        <f>L$10+M$9</f>
        <v/>
      </c>
      <c r="N10" s="14">
        <f>M$10+N$9</f>
        <v/>
      </c>
      <c r="O10" s="14">
        <f>N$10+O$9</f>
        <v/>
      </c>
      <c r="P10" s="14">
        <f>O$10+P$9</f>
        <v/>
      </c>
      <c r="Q10" s="14">
        <f>P$10+Q$9</f>
        <v/>
      </c>
      <c r="R10" s="14">
        <f>Q$10+R$9</f>
        <v/>
      </c>
      <c r="S10" s="14">
        <f>R$10+S$9</f>
        <v/>
      </c>
      <c r="T10" s="14">
        <f>S$10+T$9</f>
        <v/>
      </c>
      <c r="U10" s="14">
        <f>T$10+U$9</f>
        <v/>
      </c>
      <c r="V10" s="14">
        <f>U$10+V$9</f>
        <v/>
      </c>
      <c r="W10" s="14">
        <f>V$10+W$9</f>
        <v/>
      </c>
      <c r="X10" s="14">
        <f>W$10+X$9</f>
        <v/>
      </c>
      <c r="Y10" s="14">
        <f>X$10+Y$9</f>
        <v/>
      </c>
      <c r="Z10" s="14">
        <f>Y$10+Z$9</f>
        <v/>
      </c>
      <c r="AA10" s="14">
        <f>Z$10+AA$9</f>
        <v/>
      </c>
      <c r="AB10" s="14">
        <f>AA$10+AB$9</f>
        <v/>
      </c>
      <c r="AC10" s="14">
        <f>AB$10+AC$9</f>
        <v/>
      </c>
      <c r="AD10" s="14">
        <f>AC$10+AD$9</f>
        <v/>
      </c>
      <c r="AE10" s="14">
        <f>AD$10+AE$9</f>
        <v/>
      </c>
      <c r="AF10" s="14">
        <f>AE$10+AF$9</f>
        <v/>
      </c>
      <c r="AG10" s="14">
        <f>AF$10+AG$9</f>
        <v/>
      </c>
      <c r="AH10" s="14">
        <f>AG$10+AH$9</f>
        <v/>
      </c>
      <c r="AI10" s="14">
        <f>AH$10+AI$9</f>
        <v/>
      </c>
      <c r="AJ10" s="14">
        <f>AI$10+AJ$9</f>
        <v/>
      </c>
      <c r="AK10" s="14">
        <f>AJ$10+AK$9</f>
        <v/>
      </c>
    </row>
    <row r="11" ht="20" customHeight="1">
      <c r="A11" s="3" t="inlineStr">
        <is>
          <t>警告（残高&lt;0）</t>
        </is>
      </c>
      <c r="B11" s="14">
        <f>IF(B$10&lt;0,B$10,0)</f>
        <v/>
      </c>
      <c r="C11" s="14">
        <f>IF(C$10&lt;0,C$10,0)</f>
        <v/>
      </c>
      <c r="D11" s="14">
        <f>IF(D$10&lt;0,D$10,0)</f>
        <v/>
      </c>
      <c r="E11" s="14">
        <f>IF(E$10&lt;0,E$10,0)</f>
        <v/>
      </c>
      <c r="F11" s="14">
        <f>IF(F$10&lt;0,F$10,0)</f>
        <v/>
      </c>
      <c r="G11" s="14">
        <f>IF(G$10&lt;0,G$10,0)</f>
        <v/>
      </c>
      <c r="H11" s="14">
        <f>IF(H$10&lt;0,H$10,0)</f>
        <v/>
      </c>
      <c r="I11" s="14">
        <f>IF(I$10&lt;0,I$10,0)</f>
        <v/>
      </c>
      <c r="J11" s="14">
        <f>IF(J$10&lt;0,J$10,0)</f>
        <v/>
      </c>
      <c r="K11" s="14">
        <f>IF(K$10&lt;0,K$10,0)</f>
        <v/>
      </c>
      <c r="L11" s="14">
        <f>IF(L$10&lt;0,L$10,0)</f>
        <v/>
      </c>
      <c r="M11" s="14">
        <f>IF(M$10&lt;0,M$10,0)</f>
        <v/>
      </c>
      <c r="N11" s="14">
        <f>IF(N$10&lt;0,N$10,0)</f>
        <v/>
      </c>
      <c r="O11" s="14">
        <f>IF(O$10&lt;0,O$10,0)</f>
        <v/>
      </c>
      <c r="P11" s="14">
        <f>IF(P$10&lt;0,P$10,0)</f>
        <v/>
      </c>
      <c r="Q11" s="14">
        <f>IF(Q$10&lt;0,Q$10,0)</f>
        <v/>
      </c>
      <c r="R11" s="14">
        <f>IF(R$10&lt;0,R$10,0)</f>
        <v/>
      </c>
      <c r="S11" s="14">
        <f>IF(S$10&lt;0,S$10,0)</f>
        <v/>
      </c>
      <c r="T11" s="14">
        <f>IF(T$10&lt;0,T$10,0)</f>
        <v/>
      </c>
      <c r="U11" s="14">
        <f>IF(U$10&lt;0,U$10,0)</f>
        <v/>
      </c>
      <c r="V11" s="14">
        <f>IF(V$10&lt;0,V$10,0)</f>
        <v/>
      </c>
      <c r="W11" s="14">
        <f>IF(W$10&lt;0,W$10,0)</f>
        <v/>
      </c>
      <c r="X11" s="14">
        <f>IF(X$10&lt;0,X$10,0)</f>
        <v/>
      </c>
      <c r="Y11" s="14">
        <f>IF(Y$10&lt;0,Y$10,0)</f>
        <v/>
      </c>
      <c r="Z11" s="14">
        <f>IF(Z$10&lt;0,Z$10,0)</f>
        <v/>
      </c>
      <c r="AA11" s="14">
        <f>IF(AA$10&lt;0,AA$10,0)</f>
        <v/>
      </c>
      <c r="AB11" s="14">
        <f>IF(AB$10&lt;0,AB$10,0)</f>
        <v/>
      </c>
      <c r="AC11" s="14">
        <f>IF(AC$10&lt;0,AC$10,0)</f>
        <v/>
      </c>
      <c r="AD11" s="14">
        <f>IF(AD$10&lt;0,AD$10,0)</f>
        <v/>
      </c>
      <c r="AE11" s="14">
        <f>IF(AE$10&lt;0,AE$10,0)</f>
        <v/>
      </c>
      <c r="AF11" s="14">
        <f>IF(AF$10&lt;0,AF$10,0)</f>
        <v/>
      </c>
      <c r="AG11" s="14">
        <f>IF(AG$10&lt;0,AG$10,0)</f>
        <v/>
      </c>
      <c r="AH11" s="14">
        <f>IF(AH$10&lt;0,AH$10,0)</f>
        <v/>
      </c>
      <c r="AI11" s="14">
        <f>IF(AI$10&lt;0,AI$10,0)</f>
        <v/>
      </c>
      <c r="AJ11" s="14">
        <f>IF(AJ$10&lt;0,AJ$10,0)</f>
        <v/>
      </c>
      <c r="AK11" s="14">
        <f>IF(AK$10&lt;0,AK$10,0)</f>
        <v/>
      </c>
    </row>
  </sheetData>
  <mergeCells count="2">
    <mergeCell ref="A1:AL1"/>
    <mergeCell ref="C3:AL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21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hidden="1" width="9" customWidth="1" min="26" max="26"/>
    <col hidden="1" width="9" customWidth="1" min="27" max="27"/>
    <col hidden="1" width="9" customWidth="1" min="28" max="28"/>
    <col hidden="1" width="9" customWidth="1" min="29" max="29"/>
    <col hidden="1" width="9" customWidth="1" min="30" max="30"/>
    <col hidden="1" width="9" customWidth="1" min="31" max="31"/>
    <col hidden="1" width="9" customWidth="1" min="32" max="32"/>
    <col hidden="1" width="9" customWidth="1" min="33" max="33"/>
    <col hidden="1" width="9" customWidth="1" min="34" max="34"/>
    <col hidden="1" width="9" customWidth="1" min="35" max="35"/>
    <col hidden="1" width="9" customWidth="1" min="36" max="36"/>
    <col hidden="1" width="9" customWidth="1" min="37" max="37"/>
  </cols>
  <sheetData>
    <row r="1" ht="26" customHeight="1">
      <c r="A1" s="4" t="inlineStr">
        <is>
          <t>容量モデル（月次）— 需要が供給（稼働上限）を超えると赤字化・品質低下リスク</t>
        </is>
      </c>
    </row>
    <row r="3">
      <c r="A3" s="1" t="inlineStr">
        <is>
          <t>項目</t>
        </is>
      </c>
      <c r="B3" s="1" t="inlineStr">
        <is>
          <t>2026-01</t>
        </is>
      </c>
      <c r="C3" s="1" t="inlineStr">
        <is>
          <t>2026-02</t>
        </is>
      </c>
      <c r="D3" s="1" t="inlineStr">
        <is>
          <t>2026-03</t>
        </is>
      </c>
      <c r="E3" s="1" t="inlineStr">
        <is>
          <t>2026-04</t>
        </is>
      </c>
      <c r="F3" s="1" t="inlineStr">
        <is>
          <t>2026-05</t>
        </is>
      </c>
      <c r="G3" s="1" t="inlineStr">
        <is>
          <t>2026-06</t>
        </is>
      </c>
      <c r="H3" s="1" t="inlineStr">
        <is>
          <t>2026-07</t>
        </is>
      </c>
      <c r="I3" s="1" t="inlineStr">
        <is>
          <t>2026-08</t>
        </is>
      </c>
      <c r="J3" s="1" t="inlineStr">
        <is>
          <t>2026-09</t>
        </is>
      </c>
      <c r="K3" s="1" t="inlineStr">
        <is>
          <t>2026-10</t>
        </is>
      </c>
      <c r="L3" s="1" t="inlineStr">
        <is>
          <t>2026-11</t>
        </is>
      </c>
      <c r="M3" s="1" t="inlineStr">
        <is>
          <t>2026-12</t>
        </is>
      </c>
      <c r="N3" s="1" t="inlineStr">
        <is>
          <t>2027-01</t>
        </is>
      </c>
      <c r="O3" s="1" t="inlineStr">
        <is>
          <t>2027-02</t>
        </is>
      </c>
      <c r="P3" s="1" t="inlineStr">
        <is>
          <t>2027-03</t>
        </is>
      </c>
      <c r="Q3" s="1" t="inlineStr">
        <is>
          <t>2027-04</t>
        </is>
      </c>
      <c r="R3" s="1" t="inlineStr">
        <is>
          <t>2027-05</t>
        </is>
      </c>
      <c r="S3" s="1" t="inlineStr">
        <is>
          <t>2027-06</t>
        </is>
      </c>
      <c r="T3" s="1" t="inlineStr">
        <is>
          <t>2027-07</t>
        </is>
      </c>
      <c r="U3" s="1" t="inlineStr">
        <is>
          <t>2027-08</t>
        </is>
      </c>
      <c r="V3" s="1" t="inlineStr">
        <is>
          <t>2027-09</t>
        </is>
      </c>
      <c r="W3" s="1" t="inlineStr">
        <is>
          <t>2027-10</t>
        </is>
      </c>
      <c r="X3" s="1" t="inlineStr">
        <is>
          <t>2027-11</t>
        </is>
      </c>
      <c r="Y3" s="1" t="inlineStr">
        <is>
          <t>2027-12</t>
        </is>
      </c>
      <c r="Z3" s="1" t="inlineStr">
        <is>
          <t>2028-01</t>
        </is>
      </c>
      <c r="AA3" s="1" t="inlineStr">
        <is>
          <t>2028-02</t>
        </is>
      </c>
      <c r="AB3" s="1" t="inlineStr">
        <is>
          <t>2028-03</t>
        </is>
      </c>
      <c r="AC3" s="1" t="inlineStr">
        <is>
          <t>2028-04</t>
        </is>
      </c>
      <c r="AD3" s="1" t="inlineStr">
        <is>
          <t>2028-05</t>
        </is>
      </c>
      <c r="AE3" s="1" t="inlineStr">
        <is>
          <t>2028-06</t>
        </is>
      </c>
      <c r="AF3" s="1" t="inlineStr">
        <is>
          <t>2028-07</t>
        </is>
      </c>
      <c r="AG3" s="1" t="inlineStr">
        <is>
          <t>2028-08</t>
        </is>
      </c>
      <c r="AH3" s="1" t="inlineStr">
        <is>
          <t>2028-09</t>
        </is>
      </c>
      <c r="AI3" s="1" t="inlineStr">
        <is>
          <t>2028-10</t>
        </is>
      </c>
      <c r="AJ3" s="1" t="inlineStr">
        <is>
          <t>2028-11</t>
        </is>
      </c>
      <c r="AK3" s="1" t="inlineStr">
        <is>
          <t>2028-12</t>
        </is>
      </c>
    </row>
    <row r="5" ht="20" customHeight="1">
      <c r="A5" s="5" t="inlineStr">
        <is>
          <t>Sat（窓口/PM/ファシリ）</t>
        </is>
      </c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5" t="n"/>
    </row>
    <row r="6" ht="20" customHeight="1">
      <c r="A6" s="3" t="inlineStr">
        <is>
          <t>必要工数（時間）</t>
        </is>
      </c>
      <c r="B6" s="19">
        <f>('4_売上計画'!B$11*'2_プラン設計'!$B$8)+('4_売上計画'!B$12*'2_プラン設計'!$C$8)+('4_売上計画'!B$13*'2_プラン設計'!$D$8)</f>
        <v/>
      </c>
      <c r="C6" s="19">
        <f>('4_売上計画'!C$11*'2_プラン設計'!$B$8)+('4_売上計画'!C$12*'2_プラン設計'!$C$8)+('4_売上計画'!C$13*'2_プラン設計'!$D$8)</f>
        <v/>
      </c>
      <c r="D6" s="19">
        <f>('4_売上計画'!D$11*'2_プラン設計'!$B$8)+('4_売上計画'!D$12*'2_プラン設計'!$C$8)+('4_売上計画'!D$13*'2_プラン設計'!$D$8)</f>
        <v/>
      </c>
      <c r="E6" s="19">
        <f>('4_売上計画'!E$11*'2_プラン設計'!$B$8)+('4_売上計画'!E$12*'2_プラン設計'!$C$8)+('4_売上計画'!E$13*'2_プラン設計'!$D$8)</f>
        <v/>
      </c>
      <c r="F6" s="19">
        <f>('4_売上計画'!F$11*'2_プラン設計'!$B$8)+('4_売上計画'!F$12*'2_プラン設計'!$C$8)+('4_売上計画'!F$13*'2_プラン設計'!$D$8)</f>
        <v/>
      </c>
      <c r="G6" s="19">
        <f>('4_売上計画'!G$11*'2_プラン設計'!$B$8)+('4_売上計画'!G$12*'2_プラン設計'!$C$8)+('4_売上計画'!G$13*'2_プラン設計'!$D$8)</f>
        <v/>
      </c>
      <c r="H6" s="19">
        <f>('4_売上計画'!H$11*'2_プラン設計'!$B$8)+('4_売上計画'!H$12*'2_プラン設計'!$C$8)+('4_売上計画'!H$13*'2_プラン設計'!$D$8)</f>
        <v/>
      </c>
      <c r="I6" s="19">
        <f>('4_売上計画'!I$11*'2_プラン設計'!$B$8)+('4_売上計画'!I$12*'2_プラン設計'!$C$8)+('4_売上計画'!I$13*'2_プラン設計'!$D$8)</f>
        <v/>
      </c>
      <c r="J6" s="19">
        <f>('4_売上計画'!J$11*'2_プラン設計'!$B$8)+('4_売上計画'!J$12*'2_プラン設計'!$C$8)+('4_売上計画'!J$13*'2_プラン設計'!$D$8)</f>
        <v/>
      </c>
      <c r="K6" s="19">
        <f>('4_売上計画'!K$11*'2_プラン設計'!$B$8)+('4_売上計画'!K$12*'2_プラン設計'!$C$8)+('4_売上計画'!K$13*'2_プラン設計'!$D$8)</f>
        <v/>
      </c>
      <c r="L6" s="19">
        <f>('4_売上計画'!L$11*'2_プラン設計'!$B$8)+('4_売上計画'!L$12*'2_プラン設計'!$C$8)+('4_売上計画'!L$13*'2_プラン設計'!$D$8)</f>
        <v/>
      </c>
      <c r="M6" s="19">
        <f>('4_売上計画'!M$11*'2_プラン設計'!$B$8)+('4_売上計画'!M$12*'2_プラン設計'!$C$8)+('4_売上計画'!M$13*'2_プラン設計'!$D$8)</f>
        <v/>
      </c>
      <c r="N6" s="19">
        <f>('4_売上計画'!N$11*'2_プラン設計'!$B$8)+('4_売上計画'!N$12*'2_プラン設計'!$C$8)+('4_売上計画'!N$13*'2_プラン設計'!$D$8)</f>
        <v/>
      </c>
      <c r="O6" s="19">
        <f>('4_売上計画'!O$11*'2_プラン設計'!$B$8)+('4_売上計画'!O$12*'2_プラン設計'!$C$8)+('4_売上計画'!O$13*'2_プラン設計'!$D$8)</f>
        <v/>
      </c>
      <c r="P6" s="19">
        <f>('4_売上計画'!P$11*'2_プラン設計'!$B$8)+('4_売上計画'!P$12*'2_プラン設計'!$C$8)+('4_売上計画'!P$13*'2_プラン設計'!$D$8)</f>
        <v/>
      </c>
      <c r="Q6" s="19">
        <f>('4_売上計画'!Q$11*'2_プラン設計'!$B$8)+('4_売上計画'!Q$12*'2_プラン設計'!$C$8)+('4_売上計画'!Q$13*'2_プラン設計'!$D$8)</f>
        <v/>
      </c>
      <c r="R6" s="19">
        <f>('4_売上計画'!R$11*'2_プラン設計'!$B$8)+('4_売上計画'!R$12*'2_プラン設計'!$C$8)+('4_売上計画'!R$13*'2_プラン設計'!$D$8)</f>
        <v/>
      </c>
      <c r="S6" s="19">
        <f>('4_売上計画'!S$11*'2_プラン設計'!$B$8)+('4_売上計画'!S$12*'2_プラン設計'!$C$8)+('4_売上計画'!S$13*'2_プラン設計'!$D$8)</f>
        <v/>
      </c>
      <c r="T6" s="19">
        <f>('4_売上計画'!T$11*'2_プラン設計'!$B$8)+('4_売上計画'!T$12*'2_プラン設計'!$C$8)+('4_売上計画'!T$13*'2_プラン設計'!$D$8)</f>
        <v/>
      </c>
      <c r="U6" s="19">
        <f>('4_売上計画'!U$11*'2_プラン設計'!$B$8)+('4_売上計画'!U$12*'2_プラン設計'!$C$8)+('4_売上計画'!U$13*'2_プラン設計'!$D$8)</f>
        <v/>
      </c>
      <c r="V6" s="19">
        <f>('4_売上計画'!V$11*'2_プラン設計'!$B$8)+('4_売上計画'!V$12*'2_プラン設計'!$C$8)+('4_売上計画'!V$13*'2_プラン設計'!$D$8)</f>
        <v/>
      </c>
      <c r="W6" s="19">
        <f>('4_売上計画'!W$11*'2_プラン設計'!$B$8)+('4_売上計画'!W$12*'2_プラン設計'!$C$8)+('4_売上計画'!W$13*'2_プラン設計'!$D$8)</f>
        <v/>
      </c>
      <c r="X6" s="19">
        <f>('4_売上計画'!X$11*'2_プラン設計'!$B$8)+('4_売上計画'!X$12*'2_プラン設計'!$C$8)+('4_売上計画'!X$13*'2_プラン設計'!$D$8)</f>
        <v/>
      </c>
      <c r="Y6" s="19">
        <f>('4_売上計画'!Y$11*'2_プラン設計'!$B$8)+('4_売上計画'!Y$12*'2_プラン設計'!$C$8)+('4_売上計画'!Y$13*'2_プラン設計'!$D$8)</f>
        <v/>
      </c>
      <c r="Z6" s="19">
        <f>('4_売上計画'!Z$11*'2_プラン設計'!$B$8)+('4_売上計画'!Z$12*'2_プラン設計'!$C$8)+('4_売上計画'!Z$13*'2_プラン設計'!$D$8)</f>
        <v/>
      </c>
      <c r="AA6" s="19">
        <f>('4_売上計画'!AA$11*'2_プラン設計'!$B$8)+('4_売上計画'!AA$12*'2_プラン設計'!$C$8)+('4_売上計画'!AA$13*'2_プラン設計'!$D$8)</f>
        <v/>
      </c>
      <c r="AB6" s="19">
        <f>('4_売上計画'!AB$11*'2_プラン設計'!$B$8)+('4_売上計画'!AB$12*'2_プラン設計'!$C$8)+('4_売上計画'!AB$13*'2_プラン設計'!$D$8)</f>
        <v/>
      </c>
      <c r="AC6" s="19">
        <f>('4_売上計画'!AC$11*'2_プラン設計'!$B$8)+('4_売上計画'!AC$12*'2_プラン設計'!$C$8)+('4_売上計画'!AC$13*'2_プラン設計'!$D$8)</f>
        <v/>
      </c>
      <c r="AD6" s="19">
        <f>('4_売上計画'!AD$11*'2_プラン設計'!$B$8)+('4_売上計画'!AD$12*'2_プラン設計'!$C$8)+('4_売上計画'!AD$13*'2_プラン設計'!$D$8)</f>
        <v/>
      </c>
      <c r="AE6" s="19">
        <f>('4_売上計画'!AE$11*'2_プラン設計'!$B$8)+('4_売上計画'!AE$12*'2_プラン設計'!$C$8)+('4_売上計画'!AE$13*'2_プラン設計'!$D$8)</f>
        <v/>
      </c>
      <c r="AF6" s="19">
        <f>('4_売上計画'!AF$11*'2_プラン設計'!$B$8)+('4_売上計画'!AF$12*'2_プラン設計'!$C$8)+('4_売上計画'!AF$13*'2_プラン設計'!$D$8)</f>
        <v/>
      </c>
      <c r="AG6" s="19">
        <f>('4_売上計画'!AG$11*'2_プラン設計'!$B$8)+('4_売上計画'!AG$12*'2_プラン設計'!$C$8)+('4_売上計画'!AG$13*'2_プラン設計'!$D$8)</f>
        <v/>
      </c>
      <c r="AH6" s="19">
        <f>('4_売上計画'!AH$11*'2_プラン設計'!$B$8)+('4_売上計画'!AH$12*'2_プラン設計'!$C$8)+('4_売上計画'!AH$13*'2_プラン設計'!$D$8)</f>
        <v/>
      </c>
      <c r="AI6" s="19">
        <f>('4_売上計画'!AI$11*'2_プラン設計'!$B$8)+('4_売上計画'!AI$12*'2_プラン設計'!$C$8)+('4_売上計画'!AI$13*'2_プラン設計'!$D$8)</f>
        <v/>
      </c>
      <c r="AJ6" s="19">
        <f>('4_売上計画'!AJ$11*'2_プラン設計'!$B$8)+('4_売上計画'!AJ$12*'2_プラン設計'!$C$8)+('4_売上計画'!AJ$13*'2_プラン設計'!$D$8)</f>
        <v/>
      </c>
      <c r="AK6" s="19">
        <f>('4_売上計画'!AK$11*'2_プラン設計'!$B$8)+('4_売上計画'!AK$12*'2_プラン設計'!$C$8)+('4_売上計画'!AK$13*'2_プラン設計'!$D$8)</f>
        <v/>
      </c>
    </row>
    <row r="7" ht="20" customHeight="1">
      <c r="A7" s="3" t="inlineStr">
        <is>
          <t>稼働上限（時間）</t>
        </is>
      </c>
      <c r="B7" s="12">
        <f>Sat_Cap</f>
        <v/>
      </c>
      <c r="C7" s="12">
        <f>Sat_Cap</f>
        <v/>
      </c>
      <c r="D7" s="12">
        <f>Sat_Cap</f>
        <v/>
      </c>
      <c r="E7" s="12">
        <f>Sat_Cap</f>
        <v/>
      </c>
      <c r="F7" s="12">
        <f>Sat_Cap</f>
        <v/>
      </c>
      <c r="G7" s="12">
        <f>Sat_Cap</f>
        <v/>
      </c>
      <c r="H7" s="12">
        <f>Sat_Cap</f>
        <v/>
      </c>
      <c r="I7" s="12">
        <f>Sat_Cap</f>
        <v/>
      </c>
      <c r="J7" s="12">
        <f>Sat_Cap</f>
        <v/>
      </c>
      <c r="K7" s="12">
        <f>Sat_Cap</f>
        <v/>
      </c>
      <c r="L7" s="12">
        <f>Sat_Cap</f>
        <v/>
      </c>
      <c r="M7" s="12">
        <f>Sat_Cap</f>
        <v/>
      </c>
      <c r="N7" s="12">
        <f>Sat_Cap</f>
        <v/>
      </c>
      <c r="O7" s="12">
        <f>Sat_Cap</f>
        <v/>
      </c>
      <c r="P7" s="12">
        <f>Sat_Cap</f>
        <v/>
      </c>
      <c r="Q7" s="12">
        <f>Sat_Cap</f>
        <v/>
      </c>
      <c r="R7" s="12">
        <f>Sat_Cap</f>
        <v/>
      </c>
      <c r="S7" s="12">
        <f>Sat_Cap</f>
        <v/>
      </c>
      <c r="T7" s="12">
        <f>Sat_Cap</f>
        <v/>
      </c>
      <c r="U7" s="12">
        <f>Sat_Cap</f>
        <v/>
      </c>
      <c r="V7" s="12">
        <f>Sat_Cap</f>
        <v/>
      </c>
      <c r="W7" s="12">
        <f>Sat_Cap</f>
        <v/>
      </c>
      <c r="X7" s="12">
        <f>Sat_Cap</f>
        <v/>
      </c>
      <c r="Y7" s="12">
        <f>Sat_Cap</f>
        <v/>
      </c>
      <c r="Z7" s="12">
        <f>Sat_Cap</f>
        <v/>
      </c>
      <c r="AA7" s="12">
        <f>Sat_Cap</f>
        <v/>
      </c>
      <c r="AB7" s="12">
        <f>Sat_Cap</f>
        <v/>
      </c>
      <c r="AC7" s="12">
        <f>Sat_Cap</f>
        <v/>
      </c>
      <c r="AD7" s="12">
        <f>Sat_Cap</f>
        <v/>
      </c>
      <c r="AE7" s="12">
        <f>Sat_Cap</f>
        <v/>
      </c>
      <c r="AF7" s="12">
        <f>Sat_Cap</f>
        <v/>
      </c>
      <c r="AG7" s="12">
        <f>Sat_Cap</f>
        <v/>
      </c>
      <c r="AH7" s="12">
        <f>Sat_Cap</f>
        <v/>
      </c>
      <c r="AI7" s="12">
        <f>Sat_Cap</f>
        <v/>
      </c>
      <c r="AJ7" s="12">
        <f>Sat_Cap</f>
        <v/>
      </c>
      <c r="AK7" s="12">
        <f>Sat_Cap</f>
        <v/>
      </c>
    </row>
    <row r="8" ht="20" customHeight="1">
      <c r="A8" s="3" t="inlineStr">
        <is>
          <t>稼働率</t>
        </is>
      </c>
      <c r="B8" s="16">
        <f>IF(B$7=0,0,B$6/B$7)</f>
        <v/>
      </c>
      <c r="C8" s="16">
        <f>IF(C$7=0,0,C$6/C$7)</f>
        <v/>
      </c>
      <c r="D8" s="16">
        <f>IF(D$7=0,0,D$6/D$7)</f>
        <v/>
      </c>
      <c r="E8" s="16">
        <f>IF(E$7=0,0,E$6/E$7)</f>
        <v/>
      </c>
      <c r="F8" s="16">
        <f>IF(F$7=0,0,F$6/F$7)</f>
        <v/>
      </c>
      <c r="G8" s="16">
        <f>IF(G$7=0,0,G$6/G$7)</f>
        <v/>
      </c>
      <c r="H8" s="16">
        <f>IF(H$7=0,0,H$6/H$7)</f>
        <v/>
      </c>
      <c r="I8" s="16">
        <f>IF(I$7=0,0,I$6/I$7)</f>
        <v/>
      </c>
      <c r="J8" s="16">
        <f>IF(J$7=0,0,J$6/J$7)</f>
        <v/>
      </c>
      <c r="K8" s="16">
        <f>IF(K$7=0,0,K$6/K$7)</f>
        <v/>
      </c>
      <c r="L8" s="16">
        <f>IF(L$7=0,0,L$6/L$7)</f>
        <v/>
      </c>
      <c r="M8" s="16">
        <f>IF(M$7=0,0,M$6/M$7)</f>
        <v/>
      </c>
      <c r="N8" s="16">
        <f>IF(N$7=0,0,N$6/N$7)</f>
        <v/>
      </c>
      <c r="O8" s="16">
        <f>IF(O$7=0,0,O$6/O$7)</f>
        <v/>
      </c>
      <c r="P8" s="16">
        <f>IF(P$7=0,0,P$6/P$7)</f>
        <v/>
      </c>
      <c r="Q8" s="16">
        <f>IF(Q$7=0,0,Q$6/Q$7)</f>
        <v/>
      </c>
      <c r="R8" s="16">
        <f>IF(R$7=0,0,R$6/R$7)</f>
        <v/>
      </c>
      <c r="S8" s="16">
        <f>IF(S$7=0,0,S$6/S$7)</f>
        <v/>
      </c>
      <c r="T8" s="16">
        <f>IF(T$7=0,0,T$6/T$7)</f>
        <v/>
      </c>
      <c r="U8" s="16">
        <f>IF(U$7=0,0,U$6/U$7)</f>
        <v/>
      </c>
      <c r="V8" s="16">
        <f>IF(V$7=0,0,V$6/V$7)</f>
        <v/>
      </c>
      <c r="W8" s="16">
        <f>IF(W$7=0,0,W$6/W$7)</f>
        <v/>
      </c>
      <c r="X8" s="16">
        <f>IF(X$7=0,0,X$6/X$7)</f>
        <v/>
      </c>
      <c r="Y8" s="16">
        <f>IF(Y$7=0,0,Y$6/Y$7)</f>
        <v/>
      </c>
      <c r="Z8" s="16">
        <f>IF(Z$7=0,0,Z$6/Z$7)</f>
        <v/>
      </c>
      <c r="AA8" s="16">
        <f>IF(AA$7=0,0,AA$6/AA$7)</f>
        <v/>
      </c>
      <c r="AB8" s="16">
        <f>IF(AB$7=0,0,AB$6/AB$7)</f>
        <v/>
      </c>
      <c r="AC8" s="16">
        <f>IF(AC$7=0,0,AC$6/AC$7)</f>
        <v/>
      </c>
      <c r="AD8" s="16">
        <f>IF(AD$7=0,0,AD$6/AD$7)</f>
        <v/>
      </c>
      <c r="AE8" s="16">
        <f>IF(AE$7=0,0,AE$6/AE$7)</f>
        <v/>
      </c>
      <c r="AF8" s="16">
        <f>IF(AF$7=0,0,AF$6/AF$7)</f>
        <v/>
      </c>
      <c r="AG8" s="16">
        <f>IF(AG$7=0,0,AG$6/AG$7)</f>
        <v/>
      </c>
      <c r="AH8" s="16">
        <f>IF(AH$7=0,0,AH$6/AH$7)</f>
        <v/>
      </c>
      <c r="AI8" s="16">
        <f>IF(AI$7=0,0,AI$6/AI$7)</f>
        <v/>
      </c>
      <c r="AJ8" s="16">
        <f>IF(AJ$7=0,0,AJ$6/AJ$7)</f>
        <v/>
      </c>
      <c r="AK8" s="16">
        <f>IF(AK$7=0,0,AK$6/AK$7)</f>
        <v/>
      </c>
    </row>
    <row r="9" ht="20" customHeight="1">
      <c r="A9" s="3" t="inlineStr">
        <is>
          <t>超過（時間）</t>
        </is>
      </c>
      <c r="B9" s="19">
        <f>MAX(0,B$6-B$7)</f>
        <v/>
      </c>
      <c r="C9" s="19">
        <f>MAX(0,C$6-C$7)</f>
        <v/>
      </c>
      <c r="D9" s="19">
        <f>MAX(0,D$6-D$7)</f>
        <v/>
      </c>
      <c r="E9" s="19">
        <f>MAX(0,E$6-E$7)</f>
        <v/>
      </c>
      <c r="F9" s="19">
        <f>MAX(0,F$6-F$7)</f>
        <v/>
      </c>
      <c r="G9" s="19">
        <f>MAX(0,G$6-G$7)</f>
        <v/>
      </c>
      <c r="H9" s="19">
        <f>MAX(0,H$6-H$7)</f>
        <v/>
      </c>
      <c r="I9" s="19">
        <f>MAX(0,I$6-I$7)</f>
        <v/>
      </c>
      <c r="J9" s="19">
        <f>MAX(0,J$6-J$7)</f>
        <v/>
      </c>
      <c r="K9" s="19">
        <f>MAX(0,K$6-K$7)</f>
        <v/>
      </c>
      <c r="L9" s="19">
        <f>MAX(0,L$6-L$7)</f>
        <v/>
      </c>
      <c r="M9" s="19">
        <f>MAX(0,M$6-M$7)</f>
        <v/>
      </c>
      <c r="N9" s="19">
        <f>MAX(0,N$6-N$7)</f>
        <v/>
      </c>
      <c r="O9" s="19">
        <f>MAX(0,O$6-O$7)</f>
        <v/>
      </c>
      <c r="P9" s="19">
        <f>MAX(0,P$6-P$7)</f>
        <v/>
      </c>
      <c r="Q9" s="19">
        <f>MAX(0,Q$6-Q$7)</f>
        <v/>
      </c>
      <c r="R9" s="19">
        <f>MAX(0,R$6-R$7)</f>
        <v/>
      </c>
      <c r="S9" s="19">
        <f>MAX(0,S$6-S$7)</f>
        <v/>
      </c>
      <c r="T9" s="19">
        <f>MAX(0,T$6-T$7)</f>
        <v/>
      </c>
      <c r="U9" s="19">
        <f>MAX(0,U$6-U$7)</f>
        <v/>
      </c>
      <c r="V9" s="19">
        <f>MAX(0,V$6-V$7)</f>
        <v/>
      </c>
      <c r="W9" s="19">
        <f>MAX(0,W$6-W$7)</f>
        <v/>
      </c>
      <c r="X9" s="19">
        <f>MAX(0,X$6-X$7)</f>
        <v/>
      </c>
      <c r="Y9" s="19">
        <f>MAX(0,Y$6-Y$7)</f>
        <v/>
      </c>
      <c r="Z9" s="19">
        <f>MAX(0,Z$6-Z$7)</f>
        <v/>
      </c>
      <c r="AA9" s="19">
        <f>MAX(0,AA$6-AA$7)</f>
        <v/>
      </c>
      <c r="AB9" s="19">
        <f>MAX(0,AB$6-AB$7)</f>
        <v/>
      </c>
      <c r="AC9" s="19">
        <f>MAX(0,AC$6-AC$7)</f>
        <v/>
      </c>
      <c r="AD9" s="19">
        <f>MAX(0,AD$6-AD$7)</f>
        <v/>
      </c>
      <c r="AE9" s="19">
        <f>MAX(0,AE$6-AE$7)</f>
        <v/>
      </c>
      <c r="AF9" s="19">
        <f>MAX(0,AF$6-AF$7)</f>
        <v/>
      </c>
      <c r="AG9" s="19">
        <f>MAX(0,AG$6-AG$7)</f>
        <v/>
      </c>
      <c r="AH9" s="19">
        <f>MAX(0,AH$6-AH$7)</f>
        <v/>
      </c>
      <c r="AI9" s="19">
        <f>MAX(0,AI$6-AI$7)</f>
        <v/>
      </c>
      <c r="AJ9" s="19">
        <f>MAX(0,AJ$6-AJ$7)</f>
        <v/>
      </c>
      <c r="AK9" s="19">
        <f>MAX(0,AK$6-AK$7)</f>
        <v/>
      </c>
    </row>
    <row r="11" ht="20" customHeight="1">
      <c r="A11" s="5" t="inlineStr">
        <is>
          <t>Uni（インストラクター）</t>
        </is>
      </c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5" t="n"/>
    </row>
    <row r="12" ht="20" customHeight="1">
      <c r="A12" s="3" t="inlineStr">
        <is>
          <t>必要工数（時間）</t>
        </is>
      </c>
      <c r="B12" s="19">
        <f>('4_売上計画'!B$11*'2_プラン設計'!$B$9)+('4_売上計画'!B$12*'2_プラン設計'!$C$9)+('4_売上計画'!B$13*'2_プラン設計'!$D$9)</f>
        <v/>
      </c>
      <c r="C12" s="19">
        <f>('4_売上計画'!C$11*'2_プラン設計'!$B$9)+('4_売上計画'!C$12*'2_プラン設計'!$C$9)+('4_売上計画'!C$13*'2_プラン設計'!$D$9)</f>
        <v/>
      </c>
      <c r="D12" s="19">
        <f>('4_売上計画'!D$11*'2_プラン設計'!$B$9)+('4_売上計画'!D$12*'2_プラン設計'!$C$9)+('4_売上計画'!D$13*'2_プラン設計'!$D$9)</f>
        <v/>
      </c>
      <c r="E12" s="19">
        <f>('4_売上計画'!E$11*'2_プラン設計'!$B$9)+('4_売上計画'!E$12*'2_プラン設計'!$C$9)+('4_売上計画'!E$13*'2_プラン設計'!$D$9)</f>
        <v/>
      </c>
      <c r="F12" s="19">
        <f>('4_売上計画'!F$11*'2_プラン設計'!$B$9)+('4_売上計画'!F$12*'2_プラン設計'!$C$9)+('4_売上計画'!F$13*'2_プラン設計'!$D$9)</f>
        <v/>
      </c>
      <c r="G12" s="19">
        <f>('4_売上計画'!G$11*'2_プラン設計'!$B$9)+('4_売上計画'!G$12*'2_プラン設計'!$C$9)+('4_売上計画'!G$13*'2_プラン設計'!$D$9)</f>
        <v/>
      </c>
      <c r="H12" s="19">
        <f>('4_売上計画'!H$11*'2_プラン設計'!$B$9)+('4_売上計画'!H$12*'2_プラン設計'!$C$9)+('4_売上計画'!H$13*'2_プラン設計'!$D$9)</f>
        <v/>
      </c>
      <c r="I12" s="19">
        <f>('4_売上計画'!I$11*'2_プラン設計'!$B$9)+('4_売上計画'!I$12*'2_プラン設計'!$C$9)+('4_売上計画'!I$13*'2_プラン設計'!$D$9)</f>
        <v/>
      </c>
      <c r="J12" s="19">
        <f>('4_売上計画'!J$11*'2_プラン設計'!$B$9)+('4_売上計画'!J$12*'2_プラン設計'!$C$9)+('4_売上計画'!J$13*'2_プラン設計'!$D$9)</f>
        <v/>
      </c>
      <c r="K12" s="19">
        <f>('4_売上計画'!K$11*'2_プラン設計'!$B$9)+('4_売上計画'!K$12*'2_プラン設計'!$C$9)+('4_売上計画'!K$13*'2_プラン設計'!$D$9)</f>
        <v/>
      </c>
      <c r="L12" s="19">
        <f>('4_売上計画'!L$11*'2_プラン設計'!$B$9)+('4_売上計画'!L$12*'2_プラン設計'!$C$9)+('4_売上計画'!L$13*'2_プラン設計'!$D$9)</f>
        <v/>
      </c>
      <c r="M12" s="19">
        <f>('4_売上計画'!M$11*'2_プラン設計'!$B$9)+('4_売上計画'!M$12*'2_プラン設計'!$C$9)+('4_売上計画'!M$13*'2_プラン設計'!$D$9)</f>
        <v/>
      </c>
      <c r="N12" s="19">
        <f>('4_売上計画'!N$11*'2_プラン設計'!$B$9)+('4_売上計画'!N$12*'2_プラン設計'!$C$9)+('4_売上計画'!N$13*'2_プラン設計'!$D$9)</f>
        <v/>
      </c>
      <c r="O12" s="19">
        <f>('4_売上計画'!O$11*'2_プラン設計'!$B$9)+('4_売上計画'!O$12*'2_プラン設計'!$C$9)+('4_売上計画'!O$13*'2_プラン設計'!$D$9)</f>
        <v/>
      </c>
      <c r="P12" s="19">
        <f>('4_売上計画'!P$11*'2_プラン設計'!$B$9)+('4_売上計画'!P$12*'2_プラン設計'!$C$9)+('4_売上計画'!P$13*'2_プラン設計'!$D$9)</f>
        <v/>
      </c>
      <c r="Q12" s="19">
        <f>('4_売上計画'!Q$11*'2_プラン設計'!$B$9)+('4_売上計画'!Q$12*'2_プラン設計'!$C$9)+('4_売上計画'!Q$13*'2_プラン設計'!$D$9)</f>
        <v/>
      </c>
      <c r="R12" s="19">
        <f>('4_売上計画'!R$11*'2_プラン設計'!$B$9)+('4_売上計画'!R$12*'2_プラン設計'!$C$9)+('4_売上計画'!R$13*'2_プラン設計'!$D$9)</f>
        <v/>
      </c>
      <c r="S12" s="19">
        <f>('4_売上計画'!S$11*'2_プラン設計'!$B$9)+('4_売上計画'!S$12*'2_プラン設計'!$C$9)+('4_売上計画'!S$13*'2_プラン設計'!$D$9)</f>
        <v/>
      </c>
      <c r="T12" s="19">
        <f>('4_売上計画'!T$11*'2_プラン設計'!$B$9)+('4_売上計画'!T$12*'2_プラン設計'!$C$9)+('4_売上計画'!T$13*'2_プラン設計'!$D$9)</f>
        <v/>
      </c>
      <c r="U12" s="19">
        <f>('4_売上計画'!U$11*'2_プラン設計'!$B$9)+('4_売上計画'!U$12*'2_プラン設計'!$C$9)+('4_売上計画'!U$13*'2_プラン設計'!$D$9)</f>
        <v/>
      </c>
      <c r="V12" s="19">
        <f>('4_売上計画'!V$11*'2_プラン設計'!$B$9)+('4_売上計画'!V$12*'2_プラン設計'!$C$9)+('4_売上計画'!V$13*'2_プラン設計'!$D$9)</f>
        <v/>
      </c>
      <c r="W12" s="19">
        <f>('4_売上計画'!W$11*'2_プラン設計'!$B$9)+('4_売上計画'!W$12*'2_プラン設計'!$C$9)+('4_売上計画'!W$13*'2_プラン設計'!$D$9)</f>
        <v/>
      </c>
      <c r="X12" s="19">
        <f>('4_売上計画'!X$11*'2_プラン設計'!$B$9)+('4_売上計画'!X$12*'2_プラン設計'!$C$9)+('4_売上計画'!X$13*'2_プラン設計'!$D$9)</f>
        <v/>
      </c>
      <c r="Y12" s="19">
        <f>('4_売上計画'!Y$11*'2_プラン設計'!$B$9)+('4_売上計画'!Y$12*'2_プラン設計'!$C$9)+('4_売上計画'!Y$13*'2_プラン設計'!$D$9)</f>
        <v/>
      </c>
      <c r="Z12" s="19">
        <f>('4_売上計画'!Z$11*'2_プラン設計'!$B$9)+('4_売上計画'!Z$12*'2_プラン設計'!$C$9)+('4_売上計画'!Z$13*'2_プラン設計'!$D$9)</f>
        <v/>
      </c>
      <c r="AA12" s="19">
        <f>('4_売上計画'!AA$11*'2_プラン設計'!$B$9)+('4_売上計画'!AA$12*'2_プラン設計'!$C$9)+('4_売上計画'!AA$13*'2_プラン設計'!$D$9)</f>
        <v/>
      </c>
      <c r="AB12" s="19">
        <f>('4_売上計画'!AB$11*'2_プラン設計'!$B$9)+('4_売上計画'!AB$12*'2_プラン設計'!$C$9)+('4_売上計画'!AB$13*'2_プラン設計'!$D$9)</f>
        <v/>
      </c>
      <c r="AC12" s="19">
        <f>('4_売上計画'!AC$11*'2_プラン設計'!$B$9)+('4_売上計画'!AC$12*'2_プラン設計'!$C$9)+('4_売上計画'!AC$13*'2_プラン設計'!$D$9)</f>
        <v/>
      </c>
      <c r="AD12" s="19">
        <f>('4_売上計画'!AD$11*'2_プラン設計'!$B$9)+('4_売上計画'!AD$12*'2_プラン設計'!$C$9)+('4_売上計画'!AD$13*'2_プラン設計'!$D$9)</f>
        <v/>
      </c>
      <c r="AE12" s="19">
        <f>('4_売上計画'!AE$11*'2_プラン設計'!$B$9)+('4_売上計画'!AE$12*'2_プラン設計'!$C$9)+('4_売上計画'!AE$13*'2_プラン設計'!$D$9)</f>
        <v/>
      </c>
      <c r="AF12" s="19">
        <f>('4_売上計画'!AF$11*'2_プラン設計'!$B$9)+('4_売上計画'!AF$12*'2_プラン設計'!$C$9)+('4_売上計画'!AF$13*'2_プラン設計'!$D$9)</f>
        <v/>
      </c>
      <c r="AG12" s="19">
        <f>('4_売上計画'!AG$11*'2_プラン設計'!$B$9)+('4_売上計画'!AG$12*'2_プラン設計'!$C$9)+('4_売上計画'!AG$13*'2_プラン設計'!$D$9)</f>
        <v/>
      </c>
      <c r="AH12" s="19">
        <f>('4_売上計画'!AH$11*'2_プラン設計'!$B$9)+('4_売上計画'!AH$12*'2_プラン設計'!$C$9)+('4_売上計画'!AH$13*'2_プラン設計'!$D$9)</f>
        <v/>
      </c>
      <c r="AI12" s="19">
        <f>('4_売上計画'!AI$11*'2_プラン設計'!$B$9)+('4_売上計画'!AI$12*'2_プラン設計'!$C$9)+('4_売上計画'!AI$13*'2_プラン設計'!$D$9)</f>
        <v/>
      </c>
      <c r="AJ12" s="19">
        <f>('4_売上計画'!AJ$11*'2_プラン設計'!$B$9)+('4_売上計画'!AJ$12*'2_プラン設計'!$C$9)+('4_売上計画'!AJ$13*'2_プラン設計'!$D$9)</f>
        <v/>
      </c>
      <c r="AK12" s="19">
        <f>('4_売上計画'!AK$11*'2_プラン設計'!$B$9)+('4_売上計画'!AK$12*'2_プラン設計'!$C$9)+('4_売上計画'!AK$13*'2_プラン設計'!$D$9)</f>
        <v/>
      </c>
    </row>
    <row r="13" ht="20" customHeight="1">
      <c r="A13" s="3" t="inlineStr">
        <is>
          <t>稼働上限（時間）</t>
        </is>
      </c>
      <c r="B13" s="12">
        <f>Uni_Cap</f>
        <v/>
      </c>
      <c r="C13" s="12">
        <f>Uni_Cap</f>
        <v/>
      </c>
      <c r="D13" s="12">
        <f>Uni_Cap</f>
        <v/>
      </c>
      <c r="E13" s="12">
        <f>Uni_Cap</f>
        <v/>
      </c>
      <c r="F13" s="12">
        <f>Uni_Cap</f>
        <v/>
      </c>
      <c r="G13" s="12">
        <f>Uni_Cap</f>
        <v/>
      </c>
      <c r="H13" s="12">
        <f>Uni_Cap</f>
        <v/>
      </c>
      <c r="I13" s="12">
        <f>Uni_Cap</f>
        <v/>
      </c>
      <c r="J13" s="12">
        <f>Uni_Cap</f>
        <v/>
      </c>
      <c r="K13" s="12">
        <f>Uni_Cap</f>
        <v/>
      </c>
      <c r="L13" s="12">
        <f>Uni_Cap</f>
        <v/>
      </c>
      <c r="M13" s="12">
        <f>Uni_Cap</f>
        <v/>
      </c>
      <c r="N13" s="12">
        <f>Uni_Cap</f>
        <v/>
      </c>
      <c r="O13" s="12">
        <f>Uni_Cap</f>
        <v/>
      </c>
      <c r="P13" s="12">
        <f>Uni_Cap</f>
        <v/>
      </c>
      <c r="Q13" s="12">
        <f>Uni_Cap</f>
        <v/>
      </c>
      <c r="R13" s="12">
        <f>Uni_Cap</f>
        <v/>
      </c>
      <c r="S13" s="12">
        <f>Uni_Cap</f>
        <v/>
      </c>
      <c r="T13" s="12">
        <f>Uni_Cap</f>
        <v/>
      </c>
      <c r="U13" s="12">
        <f>Uni_Cap</f>
        <v/>
      </c>
      <c r="V13" s="12">
        <f>Uni_Cap</f>
        <v/>
      </c>
      <c r="W13" s="12">
        <f>Uni_Cap</f>
        <v/>
      </c>
      <c r="X13" s="12">
        <f>Uni_Cap</f>
        <v/>
      </c>
      <c r="Y13" s="12">
        <f>Uni_Cap</f>
        <v/>
      </c>
      <c r="Z13" s="12">
        <f>Uni_Cap</f>
        <v/>
      </c>
      <c r="AA13" s="12">
        <f>Uni_Cap</f>
        <v/>
      </c>
      <c r="AB13" s="12">
        <f>Uni_Cap</f>
        <v/>
      </c>
      <c r="AC13" s="12">
        <f>Uni_Cap</f>
        <v/>
      </c>
      <c r="AD13" s="12">
        <f>Uni_Cap</f>
        <v/>
      </c>
      <c r="AE13" s="12">
        <f>Uni_Cap</f>
        <v/>
      </c>
      <c r="AF13" s="12">
        <f>Uni_Cap</f>
        <v/>
      </c>
      <c r="AG13" s="12">
        <f>Uni_Cap</f>
        <v/>
      </c>
      <c r="AH13" s="12">
        <f>Uni_Cap</f>
        <v/>
      </c>
      <c r="AI13" s="12">
        <f>Uni_Cap</f>
        <v/>
      </c>
      <c r="AJ13" s="12">
        <f>Uni_Cap</f>
        <v/>
      </c>
      <c r="AK13" s="12">
        <f>Uni_Cap</f>
        <v/>
      </c>
    </row>
    <row r="14" ht="20" customHeight="1">
      <c r="A14" s="3" t="inlineStr">
        <is>
          <t>稼働率</t>
        </is>
      </c>
      <c r="B14" s="16">
        <f>IF(B$13=0,0,B$12/B$13)</f>
        <v/>
      </c>
      <c r="C14" s="16">
        <f>IF(C$13=0,0,C$12/C$13)</f>
        <v/>
      </c>
      <c r="D14" s="16">
        <f>IF(D$13=0,0,D$12/D$13)</f>
        <v/>
      </c>
      <c r="E14" s="16">
        <f>IF(E$13=0,0,E$12/E$13)</f>
        <v/>
      </c>
      <c r="F14" s="16">
        <f>IF(F$13=0,0,F$12/F$13)</f>
        <v/>
      </c>
      <c r="G14" s="16">
        <f>IF(G$13=0,0,G$12/G$13)</f>
        <v/>
      </c>
      <c r="H14" s="16">
        <f>IF(H$13=0,0,H$12/H$13)</f>
        <v/>
      </c>
      <c r="I14" s="16">
        <f>IF(I$13=0,0,I$12/I$13)</f>
        <v/>
      </c>
      <c r="J14" s="16">
        <f>IF(J$13=0,0,J$12/J$13)</f>
        <v/>
      </c>
      <c r="K14" s="16">
        <f>IF(K$13=0,0,K$12/K$13)</f>
        <v/>
      </c>
      <c r="L14" s="16">
        <f>IF(L$13=0,0,L$12/L$13)</f>
        <v/>
      </c>
      <c r="M14" s="16">
        <f>IF(M$13=0,0,M$12/M$13)</f>
        <v/>
      </c>
      <c r="N14" s="16">
        <f>IF(N$13=0,0,N$12/N$13)</f>
        <v/>
      </c>
      <c r="O14" s="16">
        <f>IF(O$13=0,0,O$12/O$13)</f>
        <v/>
      </c>
      <c r="P14" s="16">
        <f>IF(P$13=0,0,P$12/P$13)</f>
        <v/>
      </c>
      <c r="Q14" s="16">
        <f>IF(Q$13=0,0,Q$12/Q$13)</f>
        <v/>
      </c>
      <c r="R14" s="16">
        <f>IF(R$13=0,0,R$12/R$13)</f>
        <v/>
      </c>
      <c r="S14" s="16">
        <f>IF(S$13=0,0,S$12/S$13)</f>
        <v/>
      </c>
      <c r="T14" s="16">
        <f>IF(T$13=0,0,T$12/T$13)</f>
        <v/>
      </c>
      <c r="U14" s="16">
        <f>IF(U$13=0,0,U$12/U$13)</f>
        <v/>
      </c>
      <c r="V14" s="16">
        <f>IF(V$13=0,0,V$12/V$13)</f>
        <v/>
      </c>
      <c r="W14" s="16">
        <f>IF(W$13=0,0,W$12/W$13)</f>
        <v/>
      </c>
      <c r="X14" s="16">
        <f>IF(X$13=0,0,X$12/X$13)</f>
        <v/>
      </c>
      <c r="Y14" s="16">
        <f>IF(Y$13=0,0,Y$12/Y$13)</f>
        <v/>
      </c>
      <c r="Z14" s="16">
        <f>IF(Z$13=0,0,Z$12/Z$13)</f>
        <v/>
      </c>
      <c r="AA14" s="16">
        <f>IF(AA$13=0,0,AA$12/AA$13)</f>
        <v/>
      </c>
      <c r="AB14" s="16">
        <f>IF(AB$13=0,0,AB$12/AB$13)</f>
        <v/>
      </c>
      <c r="AC14" s="16">
        <f>IF(AC$13=0,0,AC$12/AC$13)</f>
        <v/>
      </c>
      <c r="AD14" s="16">
        <f>IF(AD$13=0,0,AD$12/AD$13)</f>
        <v/>
      </c>
      <c r="AE14" s="16">
        <f>IF(AE$13=0,0,AE$12/AE$13)</f>
        <v/>
      </c>
      <c r="AF14" s="16">
        <f>IF(AF$13=0,0,AF$12/AF$13)</f>
        <v/>
      </c>
      <c r="AG14" s="16">
        <f>IF(AG$13=0,0,AG$12/AG$13)</f>
        <v/>
      </c>
      <c r="AH14" s="16">
        <f>IF(AH$13=0,0,AH$12/AH$13)</f>
        <v/>
      </c>
      <c r="AI14" s="16">
        <f>IF(AI$13=0,0,AI$12/AI$13)</f>
        <v/>
      </c>
      <c r="AJ14" s="16">
        <f>IF(AJ$13=0,0,AJ$12/AJ$13)</f>
        <v/>
      </c>
      <c r="AK14" s="16">
        <f>IF(AK$13=0,0,AK$12/AK$13)</f>
        <v/>
      </c>
    </row>
    <row r="15" ht="20" customHeight="1">
      <c r="A15" s="3" t="inlineStr">
        <is>
          <t>超過（時間）</t>
        </is>
      </c>
      <c r="B15" s="19">
        <f>MAX(0,B$12-B$13)</f>
        <v/>
      </c>
      <c r="C15" s="19">
        <f>MAX(0,C$12-C$13)</f>
        <v/>
      </c>
      <c r="D15" s="19">
        <f>MAX(0,D$12-D$13)</f>
        <v/>
      </c>
      <c r="E15" s="19">
        <f>MAX(0,E$12-E$13)</f>
        <v/>
      </c>
      <c r="F15" s="19">
        <f>MAX(0,F$12-F$13)</f>
        <v/>
      </c>
      <c r="G15" s="19">
        <f>MAX(0,G$12-G$13)</f>
        <v/>
      </c>
      <c r="H15" s="19">
        <f>MAX(0,H$12-H$13)</f>
        <v/>
      </c>
      <c r="I15" s="19">
        <f>MAX(0,I$12-I$13)</f>
        <v/>
      </c>
      <c r="J15" s="19">
        <f>MAX(0,J$12-J$13)</f>
        <v/>
      </c>
      <c r="K15" s="19">
        <f>MAX(0,K$12-K$13)</f>
        <v/>
      </c>
      <c r="L15" s="19">
        <f>MAX(0,L$12-L$13)</f>
        <v/>
      </c>
      <c r="M15" s="19">
        <f>MAX(0,M$12-M$13)</f>
        <v/>
      </c>
      <c r="N15" s="19">
        <f>MAX(0,N$12-N$13)</f>
        <v/>
      </c>
      <c r="O15" s="19">
        <f>MAX(0,O$12-O$13)</f>
        <v/>
      </c>
      <c r="P15" s="19">
        <f>MAX(0,P$12-P$13)</f>
        <v/>
      </c>
      <c r="Q15" s="19">
        <f>MAX(0,Q$12-Q$13)</f>
        <v/>
      </c>
      <c r="R15" s="19">
        <f>MAX(0,R$12-R$13)</f>
        <v/>
      </c>
      <c r="S15" s="19">
        <f>MAX(0,S$12-S$13)</f>
        <v/>
      </c>
      <c r="T15" s="19">
        <f>MAX(0,T$12-T$13)</f>
        <v/>
      </c>
      <c r="U15" s="19">
        <f>MAX(0,U$12-U$13)</f>
        <v/>
      </c>
      <c r="V15" s="19">
        <f>MAX(0,V$12-V$13)</f>
        <v/>
      </c>
      <c r="W15" s="19">
        <f>MAX(0,W$12-W$13)</f>
        <v/>
      </c>
      <c r="X15" s="19">
        <f>MAX(0,X$12-X$13)</f>
        <v/>
      </c>
      <c r="Y15" s="19">
        <f>MAX(0,Y$12-Y$13)</f>
        <v/>
      </c>
      <c r="Z15" s="19">
        <f>MAX(0,Z$12-Z$13)</f>
        <v/>
      </c>
      <c r="AA15" s="19">
        <f>MAX(0,AA$12-AA$13)</f>
        <v/>
      </c>
      <c r="AB15" s="19">
        <f>MAX(0,AB$12-AB$13)</f>
        <v/>
      </c>
      <c r="AC15" s="19">
        <f>MAX(0,AC$12-AC$13)</f>
        <v/>
      </c>
      <c r="AD15" s="19">
        <f>MAX(0,AD$12-AD$13)</f>
        <v/>
      </c>
      <c r="AE15" s="19">
        <f>MAX(0,AE$12-AE$13)</f>
        <v/>
      </c>
      <c r="AF15" s="19">
        <f>MAX(0,AF$12-AF$13)</f>
        <v/>
      </c>
      <c r="AG15" s="19">
        <f>MAX(0,AG$12-AG$13)</f>
        <v/>
      </c>
      <c r="AH15" s="19">
        <f>MAX(0,AH$12-AH$13)</f>
        <v/>
      </c>
      <c r="AI15" s="19">
        <f>MAX(0,AI$12-AI$13)</f>
        <v/>
      </c>
      <c r="AJ15" s="19">
        <f>MAX(0,AJ$12-AJ$13)</f>
        <v/>
      </c>
      <c r="AK15" s="19">
        <f>MAX(0,AK$12-AK$13)</f>
        <v/>
      </c>
    </row>
    <row r="17" ht="20" customHeight="1">
      <c r="A17" s="5" t="inlineStr">
        <is>
          <t>Tim（設計/インストラクター）</t>
        </is>
      </c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5" t="n"/>
    </row>
    <row r="18" ht="20" customHeight="1">
      <c r="A18" s="3" t="inlineStr">
        <is>
          <t>必要工数（時間）</t>
        </is>
      </c>
      <c r="B18" s="19">
        <f>('4_売上計画'!B$11*'2_プラン設計'!$B$10)+('4_売上計画'!B$12*'2_プラン設計'!$C$10)+('4_売上計画'!B$13*'2_プラン設計'!$D$10)</f>
        <v/>
      </c>
      <c r="C18" s="19">
        <f>('4_売上計画'!C$11*'2_プラン設計'!$B$10)+('4_売上計画'!C$12*'2_プラン設計'!$C$10)+('4_売上計画'!C$13*'2_プラン設計'!$D$10)</f>
        <v/>
      </c>
      <c r="D18" s="19">
        <f>('4_売上計画'!D$11*'2_プラン設計'!$B$10)+('4_売上計画'!D$12*'2_プラン設計'!$C$10)+('4_売上計画'!D$13*'2_プラン設計'!$D$10)</f>
        <v/>
      </c>
      <c r="E18" s="19">
        <f>('4_売上計画'!E$11*'2_プラン設計'!$B$10)+('4_売上計画'!E$12*'2_プラン設計'!$C$10)+('4_売上計画'!E$13*'2_プラン設計'!$D$10)</f>
        <v/>
      </c>
      <c r="F18" s="19">
        <f>('4_売上計画'!F$11*'2_プラン設計'!$B$10)+('4_売上計画'!F$12*'2_プラン設計'!$C$10)+('4_売上計画'!F$13*'2_プラン設計'!$D$10)</f>
        <v/>
      </c>
      <c r="G18" s="19">
        <f>('4_売上計画'!G$11*'2_プラン設計'!$B$10)+('4_売上計画'!G$12*'2_プラン設計'!$C$10)+('4_売上計画'!G$13*'2_プラン設計'!$D$10)</f>
        <v/>
      </c>
      <c r="H18" s="19">
        <f>('4_売上計画'!H$11*'2_プラン設計'!$B$10)+('4_売上計画'!H$12*'2_プラン設計'!$C$10)+('4_売上計画'!H$13*'2_プラン設計'!$D$10)</f>
        <v/>
      </c>
      <c r="I18" s="19">
        <f>('4_売上計画'!I$11*'2_プラン設計'!$B$10)+('4_売上計画'!I$12*'2_プラン設計'!$C$10)+('4_売上計画'!I$13*'2_プラン設計'!$D$10)</f>
        <v/>
      </c>
      <c r="J18" s="19">
        <f>('4_売上計画'!J$11*'2_プラン設計'!$B$10)+('4_売上計画'!J$12*'2_プラン設計'!$C$10)+('4_売上計画'!J$13*'2_プラン設計'!$D$10)</f>
        <v/>
      </c>
      <c r="K18" s="19">
        <f>('4_売上計画'!K$11*'2_プラン設計'!$B$10)+('4_売上計画'!K$12*'2_プラン設計'!$C$10)+('4_売上計画'!K$13*'2_プラン設計'!$D$10)</f>
        <v/>
      </c>
      <c r="L18" s="19">
        <f>('4_売上計画'!L$11*'2_プラン設計'!$B$10)+('4_売上計画'!L$12*'2_プラン設計'!$C$10)+('4_売上計画'!L$13*'2_プラン設計'!$D$10)</f>
        <v/>
      </c>
      <c r="M18" s="19">
        <f>('4_売上計画'!M$11*'2_プラン設計'!$B$10)+('4_売上計画'!M$12*'2_プラン設計'!$C$10)+('4_売上計画'!M$13*'2_プラン設計'!$D$10)</f>
        <v/>
      </c>
      <c r="N18" s="19">
        <f>('4_売上計画'!N$11*'2_プラン設計'!$B$10)+('4_売上計画'!N$12*'2_プラン設計'!$C$10)+('4_売上計画'!N$13*'2_プラン設計'!$D$10)</f>
        <v/>
      </c>
      <c r="O18" s="19">
        <f>('4_売上計画'!O$11*'2_プラン設計'!$B$10)+('4_売上計画'!O$12*'2_プラン設計'!$C$10)+('4_売上計画'!O$13*'2_プラン設計'!$D$10)</f>
        <v/>
      </c>
      <c r="P18" s="19">
        <f>('4_売上計画'!P$11*'2_プラン設計'!$B$10)+('4_売上計画'!P$12*'2_プラン設計'!$C$10)+('4_売上計画'!P$13*'2_プラン設計'!$D$10)</f>
        <v/>
      </c>
      <c r="Q18" s="19">
        <f>('4_売上計画'!Q$11*'2_プラン設計'!$B$10)+('4_売上計画'!Q$12*'2_プラン設計'!$C$10)+('4_売上計画'!Q$13*'2_プラン設計'!$D$10)</f>
        <v/>
      </c>
      <c r="R18" s="19">
        <f>('4_売上計画'!R$11*'2_プラン設計'!$B$10)+('4_売上計画'!R$12*'2_プラン設計'!$C$10)+('4_売上計画'!R$13*'2_プラン設計'!$D$10)</f>
        <v/>
      </c>
      <c r="S18" s="19">
        <f>('4_売上計画'!S$11*'2_プラン設計'!$B$10)+('4_売上計画'!S$12*'2_プラン設計'!$C$10)+('4_売上計画'!S$13*'2_プラン設計'!$D$10)</f>
        <v/>
      </c>
      <c r="T18" s="19">
        <f>('4_売上計画'!T$11*'2_プラン設計'!$B$10)+('4_売上計画'!T$12*'2_プラン設計'!$C$10)+('4_売上計画'!T$13*'2_プラン設計'!$D$10)</f>
        <v/>
      </c>
      <c r="U18" s="19">
        <f>('4_売上計画'!U$11*'2_プラン設計'!$B$10)+('4_売上計画'!U$12*'2_プラン設計'!$C$10)+('4_売上計画'!U$13*'2_プラン設計'!$D$10)</f>
        <v/>
      </c>
      <c r="V18" s="19">
        <f>('4_売上計画'!V$11*'2_プラン設計'!$B$10)+('4_売上計画'!V$12*'2_プラン設計'!$C$10)+('4_売上計画'!V$13*'2_プラン設計'!$D$10)</f>
        <v/>
      </c>
      <c r="W18" s="19">
        <f>('4_売上計画'!W$11*'2_プラン設計'!$B$10)+('4_売上計画'!W$12*'2_プラン設計'!$C$10)+('4_売上計画'!W$13*'2_プラン設計'!$D$10)</f>
        <v/>
      </c>
      <c r="X18" s="19">
        <f>('4_売上計画'!X$11*'2_プラン設計'!$B$10)+('4_売上計画'!X$12*'2_プラン設計'!$C$10)+('4_売上計画'!X$13*'2_プラン設計'!$D$10)</f>
        <v/>
      </c>
      <c r="Y18" s="19">
        <f>('4_売上計画'!Y$11*'2_プラン設計'!$B$10)+('4_売上計画'!Y$12*'2_プラン設計'!$C$10)+('4_売上計画'!Y$13*'2_プラン設計'!$D$10)</f>
        <v/>
      </c>
      <c r="Z18" s="19">
        <f>('4_売上計画'!Z$11*'2_プラン設計'!$B$10)+('4_売上計画'!Z$12*'2_プラン設計'!$C$10)+('4_売上計画'!Z$13*'2_プラン設計'!$D$10)</f>
        <v/>
      </c>
      <c r="AA18" s="19">
        <f>('4_売上計画'!AA$11*'2_プラン設計'!$B$10)+('4_売上計画'!AA$12*'2_プラン設計'!$C$10)+('4_売上計画'!AA$13*'2_プラン設計'!$D$10)</f>
        <v/>
      </c>
      <c r="AB18" s="19">
        <f>('4_売上計画'!AB$11*'2_プラン設計'!$B$10)+('4_売上計画'!AB$12*'2_プラン設計'!$C$10)+('4_売上計画'!AB$13*'2_プラン設計'!$D$10)</f>
        <v/>
      </c>
      <c r="AC18" s="19">
        <f>('4_売上計画'!AC$11*'2_プラン設計'!$B$10)+('4_売上計画'!AC$12*'2_プラン設計'!$C$10)+('4_売上計画'!AC$13*'2_プラン設計'!$D$10)</f>
        <v/>
      </c>
      <c r="AD18" s="19">
        <f>('4_売上計画'!AD$11*'2_プラン設計'!$B$10)+('4_売上計画'!AD$12*'2_プラン設計'!$C$10)+('4_売上計画'!AD$13*'2_プラン設計'!$D$10)</f>
        <v/>
      </c>
      <c r="AE18" s="19">
        <f>('4_売上計画'!AE$11*'2_プラン設計'!$B$10)+('4_売上計画'!AE$12*'2_プラン設計'!$C$10)+('4_売上計画'!AE$13*'2_プラン設計'!$D$10)</f>
        <v/>
      </c>
      <c r="AF18" s="19">
        <f>('4_売上計画'!AF$11*'2_プラン設計'!$B$10)+('4_売上計画'!AF$12*'2_プラン設計'!$C$10)+('4_売上計画'!AF$13*'2_プラン設計'!$D$10)</f>
        <v/>
      </c>
      <c r="AG18" s="19">
        <f>('4_売上計画'!AG$11*'2_プラン設計'!$B$10)+('4_売上計画'!AG$12*'2_プラン設計'!$C$10)+('4_売上計画'!AG$13*'2_プラン設計'!$D$10)</f>
        <v/>
      </c>
      <c r="AH18" s="19">
        <f>('4_売上計画'!AH$11*'2_プラン設計'!$B$10)+('4_売上計画'!AH$12*'2_プラン設計'!$C$10)+('4_売上計画'!AH$13*'2_プラン設計'!$D$10)</f>
        <v/>
      </c>
      <c r="AI18" s="19">
        <f>('4_売上計画'!AI$11*'2_プラン設計'!$B$10)+('4_売上計画'!AI$12*'2_プラン設計'!$C$10)+('4_売上計画'!AI$13*'2_プラン設計'!$D$10)</f>
        <v/>
      </c>
      <c r="AJ18" s="19">
        <f>('4_売上計画'!AJ$11*'2_プラン設計'!$B$10)+('4_売上計画'!AJ$12*'2_プラン設計'!$C$10)+('4_売上計画'!AJ$13*'2_プラン設計'!$D$10)</f>
        <v/>
      </c>
      <c r="AK18" s="19">
        <f>('4_売上計画'!AK$11*'2_プラン設計'!$B$10)+('4_売上計画'!AK$12*'2_プラン設計'!$C$10)+('4_売上計画'!AK$13*'2_プラン設計'!$D$10)</f>
        <v/>
      </c>
    </row>
    <row r="19" ht="20" customHeight="1">
      <c r="A19" s="3" t="inlineStr">
        <is>
          <t>稼働上限（時間）</t>
        </is>
      </c>
      <c r="B19" s="12">
        <f>Tim_Cap</f>
        <v/>
      </c>
      <c r="C19" s="12">
        <f>Tim_Cap</f>
        <v/>
      </c>
      <c r="D19" s="12">
        <f>Tim_Cap</f>
        <v/>
      </c>
      <c r="E19" s="12">
        <f>Tim_Cap</f>
        <v/>
      </c>
      <c r="F19" s="12">
        <f>Tim_Cap</f>
        <v/>
      </c>
      <c r="G19" s="12">
        <f>Tim_Cap</f>
        <v/>
      </c>
      <c r="H19" s="12">
        <f>Tim_Cap</f>
        <v/>
      </c>
      <c r="I19" s="12">
        <f>Tim_Cap</f>
        <v/>
      </c>
      <c r="J19" s="12">
        <f>Tim_Cap</f>
        <v/>
      </c>
      <c r="K19" s="12">
        <f>Tim_Cap</f>
        <v/>
      </c>
      <c r="L19" s="12">
        <f>Tim_Cap</f>
        <v/>
      </c>
      <c r="M19" s="12">
        <f>Tim_Cap</f>
        <v/>
      </c>
      <c r="N19" s="12">
        <f>Tim_Cap</f>
        <v/>
      </c>
      <c r="O19" s="12">
        <f>Tim_Cap</f>
        <v/>
      </c>
      <c r="P19" s="12">
        <f>Tim_Cap</f>
        <v/>
      </c>
      <c r="Q19" s="12">
        <f>Tim_Cap</f>
        <v/>
      </c>
      <c r="R19" s="12">
        <f>Tim_Cap</f>
        <v/>
      </c>
      <c r="S19" s="12">
        <f>Tim_Cap</f>
        <v/>
      </c>
      <c r="T19" s="12">
        <f>Tim_Cap</f>
        <v/>
      </c>
      <c r="U19" s="12">
        <f>Tim_Cap</f>
        <v/>
      </c>
      <c r="V19" s="12">
        <f>Tim_Cap</f>
        <v/>
      </c>
      <c r="W19" s="12">
        <f>Tim_Cap</f>
        <v/>
      </c>
      <c r="X19" s="12">
        <f>Tim_Cap</f>
        <v/>
      </c>
      <c r="Y19" s="12">
        <f>Tim_Cap</f>
        <v/>
      </c>
      <c r="Z19" s="12">
        <f>Tim_Cap</f>
        <v/>
      </c>
      <c r="AA19" s="12">
        <f>Tim_Cap</f>
        <v/>
      </c>
      <c r="AB19" s="12">
        <f>Tim_Cap</f>
        <v/>
      </c>
      <c r="AC19" s="12">
        <f>Tim_Cap</f>
        <v/>
      </c>
      <c r="AD19" s="12">
        <f>Tim_Cap</f>
        <v/>
      </c>
      <c r="AE19" s="12">
        <f>Tim_Cap</f>
        <v/>
      </c>
      <c r="AF19" s="12">
        <f>Tim_Cap</f>
        <v/>
      </c>
      <c r="AG19" s="12">
        <f>Tim_Cap</f>
        <v/>
      </c>
      <c r="AH19" s="12">
        <f>Tim_Cap</f>
        <v/>
      </c>
      <c r="AI19" s="12">
        <f>Tim_Cap</f>
        <v/>
      </c>
      <c r="AJ19" s="12">
        <f>Tim_Cap</f>
        <v/>
      </c>
      <c r="AK19" s="12">
        <f>Tim_Cap</f>
        <v/>
      </c>
    </row>
    <row r="20" ht="20" customHeight="1">
      <c r="A20" s="3" t="inlineStr">
        <is>
          <t>稼働率</t>
        </is>
      </c>
      <c r="B20" s="16">
        <f>IF(B$19=0,0,B$18/B$19)</f>
        <v/>
      </c>
      <c r="C20" s="16">
        <f>IF(C$19=0,0,C$18/C$19)</f>
        <v/>
      </c>
      <c r="D20" s="16">
        <f>IF(D$19=0,0,D$18/D$19)</f>
        <v/>
      </c>
      <c r="E20" s="16">
        <f>IF(E$19=0,0,E$18/E$19)</f>
        <v/>
      </c>
      <c r="F20" s="16">
        <f>IF(F$19=0,0,F$18/F$19)</f>
        <v/>
      </c>
      <c r="G20" s="16">
        <f>IF(G$19=0,0,G$18/G$19)</f>
        <v/>
      </c>
      <c r="H20" s="16">
        <f>IF(H$19=0,0,H$18/H$19)</f>
        <v/>
      </c>
      <c r="I20" s="16">
        <f>IF(I$19=0,0,I$18/I$19)</f>
        <v/>
      </c>
      <c r="J20" s="16">
        <f>IF(J$19=0,0,J$18/J$19)</f>
        <v/>
      </c>
      <c r="K20" s="16">
        <f>IF(K$19=0,0,K$18/K$19)</f>
        <v/>
      </c>
      <c r="L20" s="16">
        <f>IF(L$19=0,0,L$18/L$19)</f>
        <v/>
      </c>
      <c r="M20" s="16">
        <f>IF(M$19=0,0,M$18/M$19)</f>
        <v/>
      </c>
      <c r="N20" s="16">
        <f>IF(N$19=0,0,N$18/N$19)</f>
        <v/>
      </c>
      <c r="O20" s="16">
        <f>IF(O$19=0,0,O$18/O$19)</f>
        <v/>
      </c>
      <c r="P20" s="16">
        <f>IF(P$19=0,0,P$18/P$19)</f>
        <v/>
      </c>
      <c r="Q20" s="16">
        <f>IF(Q$19=0,0,Q$18/Q$19)</f>
        <v/>
      </c>
      <c r="R20" s="16">
        <f>IF(R$19=0,0,R$18/R$19)</f>
        <v/>
      </c>
      <c r="S20" s="16">
        <f>IF(S$19=0,0,S$18/S$19)</f>
        <v/>
      </c>
      <c r="T20" s="16">
        <f>IF(T$19=0,0,T$18/T$19)</f>
        <v/>
      </c>
      <c r="U20" s="16">
        <f>IF(U$19=0,0,U$18/U$19)</f>
        <v/>
      </c>
      <c r="V20" s="16">
        <f>IF(V$19=0,0,V$18/V$19)</f>
        <v/>
      </c>
      <c r="W20" s="16">
        <f>IF(W$19=0,0,W$18/W$19)</f>
        <v/>
      </c>
      <c r="X20" s="16">
        <f>IF(X$19=0,0,X$18/X$19)</f>
        <v/>
      </c>
      <c r="Y20" s="16">
        <f>IF(Y$19=0,0,Y$18/Y$19)</f>
        <v/>
      </c>
      <c r="Z20" s="16">
        <f>IF(Z$19=0,0,Z$18/Z$19)</f>
        <v/>
      </c>
      <c r="AA20" s="16">
        <f>IF(AA$19=0,0,AA$18/AA$19)</f>
        <v/>
      </c>
      <c r="AB20" s="16">
        <f>IF(AB$19=0,0,AB$18/AB$19)</f>
        <v/>
      </c>
      <c r="AC20" s="16">
        <f>IF(AC$19=0,0,AC$18/AC$19)</f>
        <v/>
      </c>
      <c r="AD20" s="16">
        <f>IF(AD$19=0,0,AD$18/AD$19)</f>
        <v/>
      </c>
      <c r="AE20" s="16">
        <f>IF(AE$19=0,0,AE$18/AE$19)</f>
        <v/>
      </c>
      <c r="AF20" s="16">
        <f>IF(AF$19=0,0,AF$18/AF$19)</f>
        <v/>
      </c>
      <c r="AG20" s="16">
        <f>IF(AG$19=0,0,AG$18/AG$19)</f>
        <v/>
      </c>
      <c r="AH20" s="16">
        <f>IF(AH$19=0,0,AH$18/AH$19)</f>
        <v/>
      </c>
      <c r="AI20" s="16">
        <f>IF(AI$19=0,0,AI$18/AI$19)</f>
        <v/>
      </c>
      <c r="AJ20" s="16">
        <f>IF(AJ$19=0,0,AJ$18/AJ$19)</f>
        <v/>
      </c>
      <c r="AK20" s="16">
        <f>IF(AK$19=0,0,AK$18/AK$19)</f>
        <v/>
      </c>
    </row>
    <row r="21" ht="20" customHeight="1">
      <c r="A21" s="3" t="inlineStr">
        <is>
          <t>超過（時間）</t>
        </is>
      </c>
      <c r="B21" s="19">
        <f>MAX(0,B$18-B$19)</f>
        <v/>
      </c>
      <c r="C21" s="19">
        <f>MAX(0,C$18-C$19)</f>
        <v/>
      </c>
      <c r="D21" s="19">
        <f>MAX(0,D$18-D$19)</f>
        <v/>
      </c>
      <c r="E21" s="19">
        <f>MAX(0,E$18-E$19)</f>
        <v/>
      </c>
      <c r="F21" s="19">
        <f>MAX(0,F$18-F$19)</f>
        <v/>
      </c>
      <c r="G21" s="19">
        <f>MAX(0,G$18-G$19)</f>
        <v/>
      </c>
      <c r="H21" s="19">
        <f>MAX(0,H$18-H$19)</f>
        <v/>
      </c>
      <c r="I21" s="19">
        <f>MAX(0,I$18-I$19)</f>
        <v/>
      </c>
      <c r="J21" s="19">
        <f>MAX(0,J$18-J$19)</f>
        <v/>
      </c>
      <c r="K21" s="19">
        <f>MAX(0,K$18-K$19)</f>
        <v/>
      </c>
      <c r="L21" s="19">
        <f>MAX(0,L$18-L$19)</f>
        <v/>
      </c>
      <c r="M21" s="19">
        <f>MAX(0,M$18-M$19)</f>
        <v/>
      </c>
      <c r="N21" s="19">
        <f>MAX(0,N$18-N$19)</f>
        <v/>
      </c>
      <c r="O21" s="19">
        <f>MAX(0,O$18-O$19)</f>
        <v/>
      </c>
      <c r="P21" s="19">
        <f>MAX(0,P$18-P$19)</f>
        <v/>
      </c>
      <c r="Q21" s="19">
        <f>MAX(0,Q$18-Q$19)</f>
        <v/>
      </c>
      <c r="R21" s="19">
        <f>MAX(0,R$18-R$19)</f>
        <v/>
      </c>
      <c r="S21" s="19">
        <f>MAX(0,S$18-S$19)</f>
        <v/>
      </c>
      <c r="T21" s="19">
        <f>MAX(0,T$18-T$19)</f>
        <v/>
      </c>
      <c r="U21" s="19">
        <f>MAX(0,U$18-U$19)</f>
        <v/>
      </c>
      <c r="V21" s="19">
        <f>MAX(0,V$18-V$19)</f>
        <v/>
      </c>
      <c r="W21" s="19">
        <f>MAX(0,W$18-W$19)</f>
        <v/>
      </c>
      <c r="X21" s="19">
        <f>MAX(0,X$18-X$19)</f>
        <v/>
      </c>
      <c r="Y21" s="19">
        <f>MAX(0,Y$18-Y$19)</f>
        <v/>
      </c>
      <c r="Z21" s="19">
        <f>MAX(0,Z$18-Z$19)</f>
        <v/>
      </c>
      <c r="AA21" s="19">
        <f>MAX(0,AA$18-AA$19)</f>
        <v/>
      </c>
      <c r="AB21" s="19">
        <f>MAX(0,AB$18-AB$19)</f>
        <v/>
      </c>
      <c r="AC21" s="19">
        <f>MAX(0,AC$18-AC$19)</f>
        <v/>
      </c>
      <c r="AD21" s="19">
        <f>MAX(0,AD$18-AD$19)</f>
        <v/>
      </c>
      <c r="AE21" s="19">
        <f>MAX(0,AE$18-AE$19)</f>
        <v/>
      </c>
      <c r="AF21" s="19">
        <f>MAX(0,AF$18-AF$19)</f>
        <v/>
      </c>
      <c r="AG21" s="19">
        <f>MAX(0,AG$18-AG$19)</f>
        <v/>
      </c>
      <c r="AH21" s="19">
        <f>MAX(0,AH$18-AH$19)</f>
        <v/>
      </c>
      <c r="AI21" s="19">
        <f>MAX(0,AI$18-AI$19)</f>
        <v/>
      </c>
      <c r="AJ21" s="19">
        <f>MAX(0,AJ$18-AJ$19)</f>
        <v/>
      </c>
      <c r="AK21" s="19">
        <f>MAX(0,AK$18-AK$19)</f>
        <v/>
      </c>
    </row>
  </sheetData>
  <mergeCells count="4">
    <mergeCell ref="A1:AL1"/>
    <mergeCell ref="A5:AL5"/>
    <mergeCell ref="A17:AL17"/>
    <mergeCell ref="A11:AL11"/>
  </mergeCells>
  <conditionalFormatting sqref="B8:AK8">
    <cfRule type="cellIs" priority="1" operator="greaterThan" dxfId="0">
      <formula>1</formula>
    </cfRule>
  </conditionalFormatting>
  <conditionalFormatting sqref="B14:AK14">
    <cfRule type="cellIs" priority="2" operator="greaterThan" dxfId="0">
      <formula>1</formula>
    </cfRule>
  </conditionalFormatting>
  <conditionalFormatting sqref="B20:AK20">
    <cfRule type="cellIs" priority="3" operator="greaterThan" dxfId="0">
      <formula>1</formula>
    </cfRule>
  </conditionalFormatting>
  <conditionalFormatting sqref="B9:AK9">
    <cfRule type="cellIs" priority="4" operator="greaterThan" dxfId="1">
      <formula>0</formula>
    </cfRule>
  </conditionalFormatting>
  <conditionalFormatting sqref="B15:AK15">
    <cfRule type="cellIs" priority="5" operator="greaterThan" dxfId="1">
      <formula>0</formula>
    </cfRule>
  </conditionalFormatting>
  <conditionalFormatting sqref="B21:AK21">
    <cfRule type="cellIs" priority="6" operator="greater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hidden="1" width="18" customWidth="1" min="4" max="4"/>
    <col width="50" customWidth="1" min="5" max="5"/>
  </cols>
  <sheetData>
    <row r="1" ht="26" customHeight="1">
      <c r="A1" s="4" t="inlineStr">
        <is>
          <t>KPIダッシュボード（年次サマリ）</t>
        </is>
      </c>
    </row>
    <row r="3" ht="22" customHeight="1">
      <c r="A3" s="1" t="inlineStr">
        <is>
          <t>指標</t>
        </is>
      </c>
      <c r="B3" s="1" t="inlineStr">
        <is>
          <t>2026</t>
        </is>
      </c>
      <c r="C3" s="1" t="inlineStr">
        <is>
          <t>2027</t>
        </is>
      </c>
      <c r="D3" s="1" t="n"/>
      <c r="E3" s="1" t="inlineStr">
        <is>
          <t>解釈 / 目標の例</t>
        </is>
      </c>
    </row>
    <row r="4" ht="28" customHeight="1">
      <c r="A4" s="3" t="inlineStr">
        <is>
          <t>売上高</t>
        </is>
      </c>
      <c r="B4" s="14">
        <f>SUM('4_売上計画'!B19:M19)</f>
        <v/>
      </c>
      <c r="C4" s="14">
        <f>SUM('4_売上計画'!N19:Y19)</f>
        <v/>
      </c>
      <c r="D4" s="14" t="n"/>
      <c r="E4" s="8" t="inlineStr">
        <is>
          <t>初年度は検証重視。2年目以降で単価×社数を伸ばす</t>
        </is>
      </c>
    </row>
    <row r="5" ht="28" customHeight="1">
      <c r="A5" s="3" t="inlineStr">
        <is>
          <t>原価</t>
        </is>
      </c>
      <c r="B5" s="14">
        <f>SUM('5_原価・販管費'!B9:M9)</f>
        <v/>
      </c>
      <c r="C5" s="14">
        <f>SUM('5_原価・販管費'!N9:Y9)</f>
        <v/>
      </c>
      <c r="D5" s="14" t="n"/>
      <c r="E5" s="8" t="inlineStr">
        <is>
          <t>工数設計が甘いと膨らむ。プラン工数の見直しが最優先</t>
        </is>
      </c>
    </row>
    <row r="6" ht="28" customHeight="1">
      <c r="A6" s="3" t="inlineStr">
        <is>
          <t>粗利</t>
        </is>
      </c>
      <c r="B6" s="14">
        <f>B4-B5</f>
        <v/>
      </c>
      <c r="C6" s="14">
        <f>C4-C5</f>
        <v/>
      </c>
      <c r="D6" s="14" t="n"/>
      <c r="E6" s="8" t="inlineStr">
        <is>
          <t>粗利が成長の原資。粗利率の改善は『テンプレ化』が効く</t>
        </is>
      </c>
    </row>
    <row r="7" ht="28" customHeight="1">
      <c r="A7" s="3" t="inlineStr">
        <is>
          <t>粗利率</t>
        </is>
      </c>
      <c r="B7" s="16">
        <f>IF(B4=0,0,B6/B4)</f>
        <v/>
      </c>
      <c r="C7" s="16">
        <f>IF(C4=0,0,C6/C4)</f>
        <v/>
      </c>
      <c r="D7" s="16" t="n"/>
      <c r="E7" s="8" t="inlineStr">
        <is>
          <t>値引きより工数圧縮で改善</t>
        </is>
      </c>
    </row>
    <row r="8" ht="28" customHeight="1">
      <c r="A8" s="3" t="inlineStr">
        <is>
          <t>販管費</t>
        </is>
      </c>
      <c r="B8" s="14">
        <f>SUM('5_原価・販管費'!B16:M16)</f>
        <v/>
      </c>
      <c r="C8" s="14">
        <f>SUM('5_原価・販管費'!N16:Y16)</f>
        <v/>
      </c>
      <c r="D8" s="14" t="n"/>
      <c r="E8" s="8" t="inlineStr">
        <is>
          <t>案件獲得あたりのマーケ費で管理</t>
        </is>
      </c>
    </row>
    <row r="9" ht="28" customHeight="1">
      <c r="A9" s="3" t="inlineStr">
        <is>
          <t>EBITDA（概算）</t>
        </is>
      </c>
      <c r="B9" s="14">
        <f>B6-B8</f>
        <v/>
      </c>
      <c r="C9" s="14">
        <f>C6-C8</f>
        <v/>
      </c>
      <c r="D9" s="14" t="n"/>
      <c r="E9" s="8" t="inlineStr">
        <is>
          <t>黒字化タイミングと投資余力の指標</t>
        </is>
      </c>
    </row>
    <row r="10" ht="28" customHeight="1">
      <c r="A10" s="3" t="inlineStr">
        <is>
          <t>受注数（標準）</t>
        </is>
      </c>
      <c r="B10" s="15">
        <f>SUM('4_売上計画'!B7:M7)</f>
        <v/>
      </c>
      <c r="C10" s="15">
        <f>SUM('4_売上計画'!N7:Y7)</f>
        <v/>
      </c>
      <c r="D10" s="15" t="n"/>
      <c r="E10" s="8" t="inlineStr">
        <is>
          <t>コア売上の積み上げ</t>
        </is>
      </c>
    </row>
    <row r="11" ht="28" customHeight="1">
      <c r="A11" s="3" t="inlineStr">
        <is>
          <t>受注数（ライトニング）</t>
        </is>
      </c>
      <c r="B11" s="15">
        <f>SUM('4_売上計画'!B8:M8)</f>
        <v/>
      </c>
      <c r="C11" s="15">
        <f>SUM('4_売上計画'!N8:Y8)</f>
        <v/>
      </c>
      <c r="D11" s="15" t="n"/>
      <c r="E11" s="8" t="inlineStr">
        <is>
          <t>高単価・短期。事例化の打率が重要</t>
        </is>
      </c>
    </row>
    <row r="12" ht="28" customHeight="1">
      <c r="A12" s="3" t="inlineStr">
        <is>
          <t>研修実施回数</t>
        </is>
      </c>
      <c r="B12" s="15">
        <f>SUM('4_売上計画'!B9:M9)</f>
        <v/>
      </c>
      <c r="C12" s="15">
        <f>SUM('4_売上計画'!N9:Y9)</f>
        <v/>
      </c>
      <c r="D12" s="15" t="n"/>
      <c r="E12" s="8" t="inlineStr">
        <is>
          <t>入口（個人→企業）として使える</t>
        </is>
      </c>
    </row>
    <row r="13" ht="28" customHeight="1">
      <c r="A13" s="3" t="inlineStr">
        <is>
          <t>ピーク稼働率 Sat</t>
        </is>
      </c>
      <c r="B13" s="16">
        <f>MAX('3_容量モデル'!B8:M8)</f>
        <v/>
      </c>
      <c r="C13" s="16">
        <f>MAX('3_容量モデル'!N8:Y8)</f>
        <v/>
      </c>
      <c r="D13" s="16" t="n"/>
      <c r="E13" s="8" t="inlineStr">
        <is>
          <t>80%超が続くなら採用/外注/工数削減を判断</t>
        </is>
      </c>
    </row>
    <row r="14" ht="28" customHeight="1">
      <c r="A14" s="3" t="inlineStr">
        <is>
          <t>ピーク稼働率 Uni</t>
        </is>
      </c>
      <c r="B14" s="16">
        <f>MAX('3_容量モデル'!B14:M14)</f>
        <v/>
      </c>
      <c r="C14" s="16">
        <f>MAX('3_容量モデル'!N14:Y14)</f>
        <v/>
      </c>
      <c r="D14" s="16" t="n"/>
      <c r="E14" s="8" t="inlineStr"/>
    </row>
    <row r="15" ht="28" customHeight="1">
      <c r="A15" s="3" t="inlineStr">
        <is>
          <t>ピーク稼働率 Tim</t>
        </is>
      </c>
      <c r="B15" s="16">
        <f>MAX('3_容量モデル'!B20:M20)</f>
        <v/>
      </c>
      <c r="C15" s="16">
        <f>MAX('3_容量モデル'!N20:Y20)</f>
        <v/>
      </c>
      <c r="D15" s="16" t="n"/>
      <c r="E15" s="8" t="inlineStr"/>
    </row>
    <row r="16" ht="28" customHeight="1">
      <c r="A16" s="3" t="inlineStr">
        <is>
          <t>年末現金残高（簡易）</t>
        </is>
      </c>
      <c r="B16" s="14">
        <f>'7_Cash'!M10</f>
        <v/>
      </c>
      <c r="C16" s="14">
        <f>'7_Cash'!Y10</f>
        <v/>
      </c>
      <c r="D16" s="14" t="n"/>
      <c r="E16" s="8" t="inlineStr">
        <is>
          <t>最悪ケースでもマイナスにしない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10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hidden="1" width="9" customWidth="1" min="26" max="26"/>
    <col hidden="1" width="9" customWidth="1" min="27" max="27"/>
    <col hidden="1" width="9" customWidth="1" min="28" max="28"/>
    <col hidden="1" width="9" customWidth="1" min="29" max="29"/>
    <col hidden="1" width="9" customWidth="1" min="30" max="30"/>
    <col hidden="1" width="9" customWidth="1" min="31" max="31"/>
    <col hidden="1" width="9" customWidth="1" min="32" max="32"/>
    <col hidden="1" width="9" customWidth="1" min="33" max="33"/>
    <col hidden="1" width="9" customWidth="1" min="34" max="34"/>
    <col hidden="1" width="9" customWidth="1" min="35" max="35"/>
    <col hidden="1" width="9" customWidth="1" min="36" max="36"/>
    <col hidden="1" width="9" customWidth="1" min="37" max="37"/>
  </cols>
  <sheetData>
    <row r="1" ht="26" customHeight="1">
      <c r="A1" s="4" t="inlineStr">
        <is>
          <t>営業ファネル（月次目安）— 受注数から逆算して必要リード数を出す</t>
        </is>
      </c>
    </row>
    <row r="3">
      <c r="A3" s="1" t="inlineStr">
        <is>
          <t>項目</t>
        </is>
      </c>
      <c r="B3" s="1" t="inlineStr">
        <is>
          <t>2026-01</t>
        </is>
      </c>
      <c r="C3" s="1" t="inlineStr">
        <is>
          <t>2026-02</t>
        </is>
      </c>
      <c r="D3" s="1" t="inlineStr">
        <is>
          <t>2026-03</t>
        </is>
      </c>
      <c r="E3" s="1" t="inlineStr">
        <is>
          <t>2026-04</t>
        </is>
      </c>
      <c r="F3" s="1" t="inlineStr">
        <is>
          <t>2026-05</t>
        </is>
      </c>
      <c r="G3" s="1" t="inlineStr">
        <is>
          <t>2026-06</t>
        </is>
      </c>
      <c r="H3" s="1" t="inlineStr">
        <is>
          <t>2026-07</t>
        </is>
      </c>
      <c r="I3" s="1" t="inlineStr">
        <is>
          <t>2026-08</t>
        </is>
      </c>
      <c r="J3" s="1" t="inlineStr">
        <is>
          <t>2026-09</t>
        </is>
      </c>
      <c r="K3" s="1" t="inlineStr">
        <is>
          <t>2026-10</t>
        </is>
      </c>
      <c r="L3" s="1" t="inlineStr">
        <is>
          <t>2026-11</t>
        </is>
      </c>
      <c r="M3" s="1" t="inlineStr">
        <is>
          <t>2026-12</t>
        </is>
      </c>
      <c r="N3" s="1" t="inlineStr">
        <is>
          <t>2027-01</t>
        </is>
      </c>
      <c r="O3" s="1" t="inlineStr">
        <is>
          <t>2027-02</t>
        </is>
      </c>
      <c r="P3" s="1" t="inlineStr">
        <is>
          <t>2027-03</t>
        </is>
      </c>
      <c r="Q3" s="1" t="inlineStr">
        <is>
          <t>2027-04</t>
        </is>
      </c>
      <c r="R3" s="1" t="inlineStr">
        <is>
          <t>2027-05</t>
        </is>
      </c>
      <c r="S3" s="1" t="inlineStr">
        <is>
          <t>2027-06</t>
        </is>
      </c>
      <c r="T3" s="1" t="inlineStr">
        <is>
          <t>2027-07</t>
        </is>
      </c>
      <c r="U3" s="1" t="inlineStr">
        <is>
          <t>2027-08</t>
        </is>
      </c>
      <c r="V3" s="1" t="inlineStr">
        <is>
          <t>2027-09</t>
        </is>
      </c>
      <c r="W3" s="1" t="inlineStr">
        <is>
          <t>2027-10</t>
        </is>
      </c>
      <c r="X3" s="1" t="inlineStr">
        <is>
          <t>2027-11</t>
        </is>
      </c>
      <c r="Y3" s="1" t="inlineStr">
        <is>
          <t>2027-12</t>
        </is>
      </c>
      <c r="Z3" s="1" t="inlineStr">
        <is>
          <t>2028-01</t>
        </is>
      </c>
      <c r="AA3" s="1" t="inlineStr">
        <is>
          <t>2028-02</t>
        </is>
      </c>
      <c r="AB3" s="1" t="inlineStr">
        <is>
          <t>2028-03</t>
        </is>
      </c>
      <c r="AC3" s="1" t="inlineStr">
        <is>
          <t>2028-04</t>
        </is>
      </c>
      <c r="AD3" s="1" t="inlineStr">
        <is>
          <t>2028-05</t>
        </is>
      </c>
      <c r="AE3" s="1" t="inlineStr">
        <is>
          <t>2028-06</t>
        </is>
      </c>
      <c r="AF3" s="1" t="inlineStr">
        <is>
          <t>2028-07</t>
        </is>
      </c>
      <c r="AG3" s="1" t="inlineStr">
        <is>
          <t>2028-08</t>
        </is>
      </c>
      <c r="AH3" s="1" t="inlineStr">
        <is>
          <t>2028-09</t>
        </is>
      </c>
      <c r="AI3" s="1" t="inlineStr">
        <is>
          <t>2028-10</t>
        </is>
      </c>
      <c r="AJ3" s="1" t="inlineStr">
        <is>
          <t>2028-11</t>
        </is>
      </c>
      <c r="AK3" s="1" t="inlineStr">
        <is>
          <t>2028-12</t>
        </is>
      </c>
    </row>
    <row r="5" ht="20" customHeight="1">
      <c r="A5" s="3" t="inlineStr">
        <is>
          <t>受注数（合計）</t>
        </is>
      </c>
      <c r="B5" s="15">
        <f>'4_売上計画'!B$7+'4_売上計画'!B$8+'4_売上計画'!B$9</f>
        <v/>
      </c>
      <c r="C5" s="15">
        <f>'4_売上計画'!C$7+'4_売上計画'!C$8+'4_売上計画'!C$9</f>
        <v/>
      </c>
      <c r="D5" s="15">
        <f>'4_売上計画'!D$7+'4_売上計画'!D$8+'4_売上計画'!D$9</f>
        <v/>
      </c>
      <c r="E5" s="15">
        <f>'4_売上計画'!E$7+'4_売上計画'!E$8+'4_売上計画'!E$9</f>
        <v/>
      </c>
      <c r="F5" s="15">
        <f>'4_売上計画'!F$7+'4_売上計画'!F$8+'4_売上計画'!F$9</f>
        <v/>
      </c>
      <c r="G5" s="15">
        <f>'4_売上計画'!G$7+'4_売上計画'!G$8+'4_売上計画'!G$9</f>
        <v/>
      </c>
      <c r="H5" s="15">
        <f>'4_売上計画'!H$7+'4_売上計画'!H$8+'4_売上計画'!H$9</f>
        <v/>
      </c>
      <c r="I5" s="15">
        <f>'4_売上計画'!I$7+'4_売上計画'!I$8+'4_売上計画'!I$9</f>
        <v/>
      </c>
      <c r="J5" s="15">
        <f>'4_売上計画'!J$7+'4_売上計画'!J$8+'4_売上計画'!J$9</f>
        <v/>
      </c>
      <c r="K5" s="15">
        <f>'4_売上計画'!K$7+'4_売上計画'!K$8+'4_売上計画'!K$9</f>
        <v/>
      </c>
      <c r="L5" s="15">
        <f>'4_売上計画'!L$7+'4_売上計画'!L$8+'4_売上計画'!L$9</f>
        <v/>
      </c>
      <c r="M5" s="15">
        <f>'4_売上計画'!M$7+'4_売上計画'!M$8+'4_売上計画'!M$9</f>
        <v/>
      </c>
      <c r="N5" s="15">
        <f>'4_売上計画'!N$7+'4_売上計画'!N$8+'4_売上計画'!N$9</f>
        <v/>
      </c>
      <c r="O5" s="15">
        <f>'4_売上計画'!O$7+'4_売上計画'!O$8+'4_売上計画'!O$9</f>
        <v/>
      </c>
      <c r="P5" s="15">
        <f>'4_売上計画'!P$7+'4_売上計画'!P$8+'4_売上計画'!P$9</f>
        <v/>
      </c>
      <c r="Q5" s="15">
        <f>'4_売上計画'!Q$7+'4_売上計画'!Q$8+'4_売上計画'!Q$9</f>
        <v/>
      </c>
      <c r="R5" s="15">
        <f>'4_売上計画'!R$7+'4_売上計画'!R$8+'4_売上計画'!R$9</f>
        <v/>
      </c>
      <c r="S5" s="15">
        <f>'4_売上計画'!S$7+'4_売上計画'!S$8+'4_売上計画'!S$9</f>
        <v/>
      </c>
      <c r="T5" s="15">
        <f>'4_売上計画'!T$7+'4_売上計画'!T$8+'4_売上計画'!T$9</f>
        <v/>
      </c>
      <c r="U5" s="15">
        <f>'4_売上計画'!U$7+'4_売上計画'!U$8+'4_売上計画'!U$9</f>
        <v/>
      </c>
      <c r="V5" s="15">
        <f>'4_売上計画'!V$7+'4_売上計画'!V$8+'4_売上計画'!V$9</f>
        <v/>
      </c>
      <c r="W5" s="15">
        <f>'4_売上計画'!W$7+'4_売上計画'!W$8+'4_売上計画'!W$9</f>
        <v/>
      </c>
      <c r="X5" s="15">
        <f>'4_売上計画'!X$7+'4_売上計画'!X$8+'4_売上計画'!X$9</f>
        <v/>
      </c>
      <c r="Y5" s="15">
        <f>'4_売上計画'!Y$7+'4_売上計画'!Y$8+'4_売上計画'!Y$9</f>
        <v/>
      </c>
      <c r="Z5" s="15">
        <f>'4_売上計画'!Z$7+'4_売上計画'!Z$8+'4_売上計画'!Z$9</f>
        <v/>
      </c>
      <c r="AA5" s="15">
        <f>'4_売上計画'!AA$7+'4_売上計画'!AA$8+'4_売上計画'!AA$9</f>
        <v/>
      </c>
      <c r="AB5" s="15">
        <f>'4_売上計画'!AB$7+'4_売上計画'!AB$8+'4_売上計画'!AB$9</f>
        <v/>
      </c>
      <c r="AC5" s="15">
        <f>'4_売上計画'!AC$7+'4_売上計画'!AC$8+'4_売上計画'!AC$9</f>
        <v/>
      </c>
      <c r="AD5" s="15">
        <f>'4_売上計画'!AD$7+'4_売上計画'!AD$8+'4_売上計画'!AD$9</f>
        <v/>
      </c>
      <c r="AE5" s="15">
        <f>'4_売上計画'!AE$7+'4_売上計画'!AE$8+'4_売上計画'!AE$9</f>
        <v/>
      </c>
      <c r="AF5" s="15">
        <f>'4_売上計画'!AF$7+'4_売上計画'!AF$8+'4_売上計画'!AF$9</f>
        <v/>
      </c>
      <c r="AG5" s="15">
        <f>'4_売上計画'!AG$7+'4_売上計画'!AG$8+'4_売上計画'!AG$9</f>
        <v/>
      </c>
      <c r="AH5" s="15">
        <f>'4_売上計画'!AH$7+'4_売上計画'!AH$8+'4_売上計画'!AH$9</f>
        <v/>
      </c>
      <c r="AI5" s="15">
        <f>'4_売上計画'!AI$7+'4_売上計画'!AI$8+'4_売上計画'!AI$9</f>
        <v/>
      </c>
      <c r="AJ5" s="15">
        <f>'4_売上計画'!AJ$7+'4_売上計画'!AJ$8+'4_売上計画'!AJ$9</f>
        <v/>
      </c>
      <c r="AK5" s="15">
        <f>'4_売上計画'!AK$7+'4_売上計画'!AK$8+'4_売上計画'!AK$9</f>
        <v/>
      </c>
    </row>
    <row r="6" ht="20" customHeight="1">
      <c r="A6" s="3" t="inlineStr">
        <is>
          <t>提案数（必要）</t>
        </is>
      </c>
      <c r="B6" s="15">
        <f>IF('1_前提'!$B$37=0,0,B$5/'1_前提'!$B$37)</f>
        <v/>
      </c>
      <c r="C6" s="15">
        <f>IF('1_前提'!$B$37=0,0,C$5/'1_前提'!$B$37)</f>
        <v/>
      </c>
      <c r="D6" s="15">
        <f>IF('1_前提'!$B$37=0,0,D$5/'1_前提'!$B$37)</f>
        <v/>
      </c>
      <c r="E6" s="15">
        <f>IF('1_前提'!$B$37=0,0,E$5/'1_前提'!$B$37)</f>
        <v/>
      </c>
      <c r="F6" s="15">
        <f>IF('1_前提'!$B$37=0,0,F$5/'1_前提'!$B$37)</f>
        <v/>
      </c>
      <c r="G6" s="15">
        <f>IF('1_前提'!$B$37=0,0,G$5/'1_前提'!$B$37)</f>
        <v/>
      </c>
      <c r="H6" s="15">
        <f>IF('1_前提'!$B$37=0,0,H$5/'1_前提'!$B$37)</f>
        <v/>
      </c>
      <c r="I6" s="15">
        <f>IF('1_前提'!$B$37=0,0,I$5/'1_前提'!$B$37)</f>
        <v/>
      </c>
      <c r="J6" s="15">
        <f>IF('1_前提'!$B$37=0,0,J$5/'1_前提'!$B$37)</f>
        <v/>
      </c>
      <c r="K6" s="15">
        <f>IF('1_前提'!$B$37=0,0,K$5/'1_前提'!$B$37)</f>
        <v/>
      </c>
      <c r="L6" s="15">
        <f>IF('1_前提'!$B$37=0,0,L$5/'1_前提'!$B$37)</f>
        <v/>
      </c>
      <c r="M6" s="15">
        <f>IF('1_前提'!$B$37=0,0,M$5/'1_前提'!$B$37)</f>
        <v/>
      </c>
      <c r="N6" s="15">
        <f>IF('1_前提'!$B$37=0,0,N$5/'1_前提'!$B$37)</f>
        <v/>
      </c>
      <c r="O6" s="15">
        <f>IF('1_前提'!$B$37=0,0,O$5/'1_前提'!$B$37)</f>
        <v/>
      </c>
      <c r="P6" s="15">
        <f>IF('1_前提'!$B$37=0,0,P$5/'1_前提'!$B$37)</f>
        <v/>
      </c>
      <c r="Q6" s="15">
        <f>IF('1_前提'!$B$37=0,0,Q$5/'1_前提'!$B$37)</f>
        <v/>
      </c>
      <c r="R6" s="15">
        <f>IF('1_前提'!$B$37=0,0,R$5/'1_前提'!$B$37)</f>
        <v/>
      </c>
      <c r="S6" s="15">
        <f>IF('1_前提'!$B$37=0,0,S$5/'1_前提'!$B$37)</f>
        <v/>
      </c>
      <c r="T6" s="15">
        <f>IF('1_前提'!$B$37=0,0,T$5/'1_前提'!$B$37)</f>
        <v/>
      </c>
      <c r="U6" s="15">
        <f>IF('1_前提'!$B$37=0,0,U$5/'1_前提'!$B$37)</f>
        <v/>
      </c>
      <c r="V6" s="15">
        <f>IF('1_前提'!$B$37=0,0,V$5/'1_前提'!$B$37)</f>
        <v/>
      </c>
      <c r="W6" s="15">
        <f>IF('1_前提'!$B$37=0,0,W$5/'1_前提'!$B$37)</f>
        <v/>
      </c>
      <c r="X6" s="15">
        <f>IF('1_前提'!$B$37=0,0,X$5/'1_前提'!$B$37)</f>
        <v/>
      </c>
      <c r="Y6" s="15">
        <f>IF('1_前提'!$B$37=0,0,Y$5/'1_前提'!$B$37)</f>
        <v/>
      </c>
      <c r="Z6" s="15">
        <f>IF('1_前提'!$B$37=0,0,Z$5/'1_前提'!$B$37)</f>
        <v/>
      </c>
      <c r="AA6" s="15">
        <f>IF('1_前提'!$B$37=0,0,AA$5/'1_前提'!$B$37)</f>
        <v/>
      </c>
      <c r="AB6" s="15">
        <f>IF('1_前提'!$B$37=0,0,AB$5/'1_前提'!$B$37)</f>
        <v/>
      </c>
      <c r="AC6" s="15">
        <f>IF('1_前提'!$B$37=0,0,AC$5/'1_前提'!$B$37)</f>
        <v/>
      </c>
      <c r="AD6" s="15">
        <f>IF('1_前提'!$B$37=0,0,AD$5/'1_前提'!$B$37)</f>
        <v/>
      </c>
      <c r="AE6" s="15">
        <f>IF('1_前提'!$B$37=0,0,AE$5/'1_前提'!$B$37)</f>
        <v/>
      </c>
      <c r="AF6" s="15">
        <f>IF('1_前提'!$B$37=0,0,AF$5/'1_前提'!$B$37)</f>
        <v/>
      </c>
      <c r="AG6" s="15">
        <f>IF('1_前提'!$B$37=0,0,AG$5/'1_前提'!$B$37)</f>
        <v/>
      </c>
      <c r="AH6" s="15">
        <f>IF('1_前提'!$B$37=0,0,AH$5/'1_前提'!$B$37)</f>
        <v/>
      </c>
      <c r="AI6" s="15">
        <f>IF('1_前提'!$B$37=0,0,AI$5/'1_前提'!$B$37)</f>
        <v/>
      </c>
      <c r="AJ6" s="15">
        <f>IF('1_前提'!$B$37=0,0,AJ$5/'1_前提'!$B$37)</f>
        <v/>
      </c>
      <c r="AK6" s="15">
        <f>IF('1_前提'!$B$37=0,0,AK$5/'1_前提'!$B$37)</f>
        <v/>
      </c>
    </row>
    <row r="7" ht="20" customHeight="1">
      <c r="A7" s="3" t="inlineStr">
        <is>
          <t>初回相談数（必要）</t>
        </is>
      </c>
      <c r="B7" s="15">
        <f>IF('1_前提'!$B$36=0,0,B$6/'1_前提'!$B$36)</f>
        <v/>
      </c>
      <c r="C7" s="15">
        <f>IF('1_前提'!$B$36=0,0,C$6/'1_前提'!$B$36)</f>
        <v/>
      </c>
      <c r="D7" s="15">
        <f>IF('1_前提'!$B$36=0,0,D$6/'1_前提'!$B$36)</f>
        <v/>
      </c>
      <c r="E7" s="15">
        <f>IF('1_前提'!$B$36=0,0,E$6/'1_前提'!$B$36)</f>
        <v/>
      </c>
      <c r="F7" s="15">
        <f>IF('1_前提'!$B$36=0,0,F$6/'1_前提'!$B$36)</f>
        <v/>
      </c>
      <c r="G7" s="15">
        <f>IF('1_前提'!$B$36=0,0,G$6/'1_前提'!$B$36)</f>
        <v/>
      </c>
      <c r="H7" s="15">
        <f>IF('1_前提'!$B$36=0,0,H$6/'1_前提'!$B$36)</f>
        <v/>
      </c>
      <c r="I7" s="15">
        <f>IF('1_前提'!$B$36=0,0,I$6/'1_前提'!$B$36)</f>
        <v/>
      </c>
      <c r="J7" s="15">
        <f>IF('1_前提'!$B$36=0,0,J$6/'1_前提'!$B$36)</f>
        <v/>
      </c>
      <c r="K7" s="15">
        <f>IF('1_前提'!$B$36=0,0,K$6/'1_前提'!$B$36)</f>
        <v/>
      </c>
      <c r="L7" s="15">
        <f>IF('1_前提'!$B$36=0,0,L$6/'1_前提'!$B$36)</f>
        <v/>
      </c>
      <c r="M7" s="15">
        <f>IF('1_前提'!$B$36=0,0,M$6/'1_前提'!$B$36)</f>
        <v/>
      </c>
      <c r="N7" s="15">
        <f>IF('1_前提'!$B$36=0,0,N$6/'1_前提'!$B$36)</f>
        <v/>
      </c>
      <c r="O7" s="15">
        <f>IF('1_前提'!$B$36=0,0,O$6/'1_前提'!$B$36)</f>
        <v/>
      </c>
      <c r="P7" s="15">
        <f>IF('1_前提'!$B$36=0,0,P$6/'1_前提'!$B$36)</f>
        <v/>
      </c>
      <c r="Q7" s="15">
        <f>IF('1_前提'!$B$36=0,0,Q$6/'1_前提'!$B$36)</f>
        <v/>
      </c>
      <c r="R7" s="15">
        <f>IF('1_前提'!$B$36=0,0,R$6/'1_前提'!$B$36)</f>
        <v/>
      </c>
      <c r="S7" s="15">
        <f>IF('1_前提'!$B$36=0,0,S$6/'1_前提'!$B$36)</f>
        <v/>
      </c>
      <c r="T7" s="15">
        <f>IF('1_前提'!$B$36=0,0,T$6/'1_前提'!$B$36)</f>
        <v/>
      </c>
      <c r="U7" s="15">
        <f>IF('1_前提'!$B$36=0,0,U$6/'1_前提'!$B$36)</f>
        <v/>
      </c>
      <c r="V7" s="15">
        <f>IF('1_前提'!$B$36=0,0,V$6/'1_前提'!$B$36)</f>
        <v/>
      </c>
      <c r="W7" s="15">
        <f>IF('1_前提'!$B$36=0,0,W$6/'1_前提'!$B$36)</f>
        <v/>
      </c>
      <c r="X7" s="15">
        <f>IF('1_前提'!$B$36=0,0,X$6/'1_前提'!$B$36)</f>
        <v/>
      </c>
      <c r="Y7" s="15">
        <f>IF('1_前提'!$B$36=0,0,Y$6/'1_前提'!$B$36)</f>
        <v/>
      </c>
      <c r="Z7" s="15">
        <f>IF('1_前提'!$B$36=0,0,Z$6/'1_前提'!$B$36)</f>
        <v/>
      </c>
      <c r="AA7" s="15">
        <f>IF('1_前提'!$B$36=0,0,AA$6/'1_前提'!$B$36)</f>
        <v/>
      </c>
      <c r="AB7" s="15">
        <f>IF('1_前提'!$B$36=0,0,AB$6/'1_前提'!$B$36)</f>
        <v/>
      </c>
      <c r="AC7" s="15">
        <f>IF('1_前提'!$B$36=0,0,AC$6/'1_前提'!$B$36)</f>
        <v/>
      </c>
      <c r="AD7" s="15">
        <f>IF('1_前提'!$B$36=0,0,AD$6/'1_前提'!$B$36)</f>
        <v/>
      </c>
      <c r="AE7" s="15">
        <f>IF('1_前提'!$B$36=0,0,AE$6/'1_前提'!$B$36)</f>
        <v/>
      </c>
      <c r="AF7" s="15">
        <f>IF('1_前提'!$B$36=0,0,AF$6/'1_前提'!$B$36)</f>
        <v/>
      </c>
      <c r="AG7" s="15">
        <f>IF('1_前提'!$B$36=0,0,AG$6/'1_前提'!$B$36)</f>
        <v/>
      </c>
      <c r="AH7" s="15">
        <f>IF('1_前提'!$B$36=0,0,AH$6/'1_前提'!$B$36)</f>
        <v/>
      </c>
      <c r="AI7" s="15">
        <f>IF('1_前提'!$B$36=0,0,AI$6/'1_前提'!$B$36)</f>
        <v/>
      </c>
      <c r="AJ7" s="15">
        <f>IF('1_前提'!$B$36=0,0,AJ$6/'1_前提'!$B$36)</f>
        <v/>
      </c>
      <c r="AK7" s="15">
        <f>IF('1_前提'!$B$36=0,0,AK$6/'1_前提'!$B$36)</f>
        <v/>
      </c>
    </row>
    <row r="8" ht="20" customHeight="1">
      <c r="A8" s="3" t="inlineStr">
        <is>
          <t>リード数（必要）</t>
        </is>
      </c>
      <c r="B8" s="15">
        <f>IF('1_前提'!$B$35=0,0,B$7/'1_前提'!$B$35)</f>
        <v/>
      </c>
      <c r="C8" s="15">
        <f>IF('1_前提'!$B$35=0,0,C$7/'1_前提'!$B$35)</f>
        <v/>
      </c>
      <c r="D8" s="15">
        <f>IF('1_前提'!$B$35=0,0,D$7/'1_前提'!$B$35)</f>
        <v/>
      </c>
      <c r="E8" s="15">
        <f>IF('1_前提'!$B$35=0,0,E$7/'1_前提'!$B$35)</f>
        <v/>
      </c>
      <c r="F8" s="15">
        <f>IF('1_前提'!$B$35=0,0,F$7/'1_前提'!$B$35)</f>
        <v/>
      </c>
      <c r="G8" s="15">
        <f>IF('1_前提'!$B$35=0,0,G$7/'1_前提'!$B$35)</f>
        <v/>
      </c>
      <c r="H8" s="15">
        <f>IF('1_前提'!$B$35=0,0,H$7/'1_前提'!$B$35)</f>
        <v/>
      </c>
      <c r="I8" s="15">
        <f>IF('1_前提'!$B$35=0,0,I$7/'1_前提'!$B$35)</f>
        <v/>
      </c>
      <c r="J8" s="15">
        <f>IF('1_前提'!$B$35=0,0,J$7/'1_前提'!$B$35)</f>
        <v/>
      </c>
      <c r="K8" s="15">
        <f>IF('1_前提'!$B$35=0,0,K$7/'1_前提'!$B$35)</f>
        <v/>
      </c>
      <c r="L8" s="15">
        <f>IF('1_前提'!$B$35=0,0,L$7/'1_前提'!$B$35)</f>
        <v/>
      </c>
      <c r="M8" s="15">
        <f>IF('1_前提'!$B$35=0,0,M$7/'1_前提'!$B$35)</f>
        <v/>
      </c>
      <c r="N8" s="15">
        <f>IF('1_前提'!$B$35=0,0,N$7/'1_前提'!$B$35)</f>
        <v/>
      </c>
      <c r="O8" s="15">
        <f>IF('1_前提'!$B$35=0,0,O$7/'1_前提'!$B$35)</f>
        <v/>
      </c>
      <c r="P8" s="15">
        <f>IF('1_前提'!$B$35=0,0,P$7/'1_前提'!$B$35)</f>
        <v/>
      </c>
      <c r="Q8" s="15">
        <f>IF('1_前提'!$B$35=0,0,Q$7/'1_前提'!$B$35)</f>
        <v/>
      </c>
      <c r="R8" s="15">
        <f>IF('1_前提'!$B$35=0,0,R$7/'1_前提'!$B$35)</f>
        <v/>
      </c>
      <c r="S8" s="15">
        <f>IF('1_前提'!$B$35=0,0,S$7/'1_前提'!$B$35)</f>
        <v/>
      </c>
      <c r="T8" s="15">
        <f>IF('1_前提'!$B$35=0,0,T$7/'1_前提'!$B$35)</f>
        <v/>
      </c>
      <c r="U8" s="15">
        <f>IF('1_前提'!$B$35=0,0,U$7/'1_前提'!$B$35)</f>
        <v/>
      </c>
      <c r="V8" s="15">
        <f>IF('1_前提'!$B$35=0,0,V$7/'1_前提'!$B$35)</f>
        <v/>
      </c>
      <c r="W8" s="15">
        <f>IF('1_前提'!$B$35=0,0,W$7/'1_前提'!$B$35)</f>
        <v/>
      </c>
      <c r="X8" s="15">
        <f>IF('1_前提'!$B$35=0,0,X$7/'1_前提'!$B$35)</f>
        <v/>
      </c>
      <c r="Y8" s="15">
        <f>IF('1_前提'!$B$35=0,0,Y$7/'1_前提'!$B$35)</f>
        <v/>
      </c>
      <c r="Z8" s="15">
        <f>IF('1_前提'!$B$35=0,0,Z$7/'1_前提'!$B$35)</f>
        <v/>
      </c>
      <c r="AA8" s="15">
        <f>IF('1_前提'!$B$35=0,0,AA$7/'1_前提'!$B$35)</f>
        <v/>
      </c>
      <c r="AB8" s="15">
        <f>IF('1_前提'!$B$35=0,0,AB$7/'1_前提'!$B$35)</f>
        <v/>
      </c>
      <c r="AC8" s="15">
        <f>IF('1_前提'!$B$35=0,0,AC$7/'1_前提'!$B$35)</f>
        <v/>
      </c>
      <c r="AD8" s="15">
        <f>IF('1_前提'!$B$35=0,0,AD$7/'1_前提'!$B$35)</f>
        <v/>
      </c>
      <c r="AE8" s="15">
        <f>IF('1_前提'!$B$35=0,0,AE$7/'1_前提'!$B$35)</f>
        <v/>
      </c>
      <c r="AF8" s="15">
        <f>IF('1_前提'!$B$35=0,0,AF$7/'1_前提'!$B$35)</f>
        <v/>
      </c>
      <c r="AG8" s="15">
        <f>IF('1_前提'!$B$35=0,0,AG$7/'1_前提'!$B$35)</f>
        <v/>
      </c>
      <c r="AH8" s="15">
        <f>IF('1_前提'!$B$35=0,0,AH$7/'1_前提'!$B$35)</f>
        <v/>
      </c>
      <c r="AI8" s="15">
        <f>IF('1_前提'!$B$35=0,0,AI$7/'1_前提'!$B$35)</f>
        <v/>
      </c>
      <c r="AJ8" s="15">
        <f>IF('1_前提'!$B$35=0,0,AJ$7/'1_前提'!$B$35)</f>
        <v/>
      </c>
      <c r="AK8" s="15">
        <f>IF('1_前提'!$B$35=0,0,AK$7/'1_前提'!$B$35)</f>
        <v/>
      </c>
    </row>
    <row r="10" ht="48" customHeight="1">
      <c r="A10" s="20" t="inlineStr">
        <is>
          <t>メモ</t>
        </is>
      </c>
      <c r="B10" s="21" t="inlineStr">
        <is>
          <t>1_前提の『リード→初回相談』『初回相談→提案』『提案→受注』の率で逆算。受注目標を置いた後に、施策（ウェビナー/紹介/コンテンツ/SNS）を設計。</t>
        </is>
      </c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5" t="n"/>
    </row>
  </sheetData>
  <mergeCells count="2">
    <mergeCell ref="B10:AL10"/>
    <mergeCell ref="A1:A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70" customWidth="1" min="4" max="4"/>
  </cols>
  <sheetData>
    <row r="1" ht="26" customHeight="1">
      <c r="A1" s="4" t="inlineStr">
        <is>
          <t>実行計画（用意するもの・優先度）</t>
        </is>
      </c>
    </row>
    <row r="3" ht="22" customHeight="1">
      <c r="A3" s="1" t="inlineStr">
        <is>
          <t>成果物/仕組み</t>
        </is>
      </c>
      <c r="B3" s="1" t="inlineStr">
        <is>
          <t>オーナー</t>
        </is>
      </c>
      <c r="C3" s="1" t="inlineStr">
        <is>
          <t>期限（目安）</t>
        </is>
      </c>
      <c r="D3" s="1" t="inlineStr">
        <is>
          <t>狙い（事業計画に効く理由）</t>
        </is>
      </c>
    </row>
    <row r="4" ht="40" customHeight="1">
      <c r="A4" s="3" t="inlineStr">
        <is>
          <t>LP（AIチーム開発を前面）</t>
        </is>
      </c>
      <c r="B4" s="3" t="inlineStr">
        <is>
          <t>Sat</t>
        </is>
      </c>
      <c r="C4" s="22" t="inlineStr">
        <is>
          <t>2週間</t>
        </is>
      </c>
      <c r="D4" s="8" t="inlineStr">
        <is>
          <t>問い合わせ獲得。ライトニング/標準/研修の3プラン比較を1ページに集約</t>
        </is>
      </c>
    </row>
    <row r="5" ht="40" customHeight="1">
      <c r="A5" s="3" t="inlineStr">
        <is>
          <t>提案書テンプレ（課題→ToBe→設計→見積）</t>
        </is>
      </c>
      <c r="B5" s="3" t="inlineStr">
        <is>
          <t>Sat</t>
        </is>
      </c>
      <c r="C5" s="22" t="inlineStr">
        <is>
          <t>2週間</t>
        </is>
      </c>
      <c r="D5" s="8" t="inlineStr">
        <is>
          <t>提案速度を上げ、値引き交渉を減らす</t>
        </is>
      </c>
    </row>
    <row r="6" ht="40" customHeight="1">
      <c r="A6" s="3" t="inlineStr">
        <is>
          <t>契約/約款（成果物・範囲・免責）</t>
        </is>
      </c>
      <c r="B6" s="3" t="inlineStr">
        <is>
          <t>Sat</t>
        </is>
      </c>
      <c r="C6" s="22" t="inlineStr">
        <is>
          <t>3週間</t>
        </is>
      </c>
      <c r="D6" s="8" t="inlineStr">
        <is>
          <t>スコープ事故を防ぐ。支払い条件を明確化</t>
        </is>
      </c>
    </row>
    <row r="7" ht="40" customHeight="1">
      <c r="A7" s="3" t="inlineStr">
        <is>
          <t>カリキュラム（補助金対応版）</t>
        </is>
      </c>
      <c r="B7" s="3" t="inlineStr">
        <is>
          <t>Uni/Tim</t>
        </is>
      </c>
      <c r="C7" s="22" t="inlineStr">
        <is>
          <t>3週間</t>
        </is>
      </c>
      <c r="D7" s="8" t="inlineStr">
        <is>
          <t>助成金活用のフックを作る（提出物・出席・証明）</t>
        </is>
      </c>
    </row>
    <row r="8" ht="40" customHeight="1">
      <c r="A8" s="3" t="inlineStr">
        <is>
          <t>運用SOP（MTG→課題→実装→振り返り）</t>
        </is>
      </c>
      <c r="B8" s="3" t="inlineStr">
        <is>
          <t>Uni/Tim</t>
        </is>
      </c>
      <c r="C8" s="22" t="inlineStr">
        <is>
          <t>4週間</t>
        </is>
      </c>
      <c r="D8" s="8" t="inlineStr">
        <is>
          <t>工数を圧縮し粗利率を上げる。属人性を減らす</t>
        </is>
      </c>
    </row>
    <row r="9" ht="40" customHeight="1">
      <c r="A9" s="3" t="inlineStr">
        <is>
          <t>ケーススタディ2本（数字付き）</t>
        </is>
      </c>
      <c r="B9" s="3" t="inlineStr">
        <is>
          <t>Sat+Uni/Tim</t>
        </is>
      </c>
      <c r="C9" s="22" t="inlineStr">
        <is>
          <t>6週間</t>
        </is>
      </c>
      <c r="D9" s="8" t="inlineStr">
        <is>
          <t>受注率を押し上げる（営業ファネルの改善）</t>
        </is>
      </c>
    </row>
    <row r="10" ht="40" customHeight="1">
      <c r="A10" s="3" t="inlineStr">
        <is>
          <t>プロジェクト管理（Notion等）</t>
        </is>
      </c>
      <c r="B10" s="3" t="inlineStr">
        <is>
          <t>Sat</t>
        </is>
      </c>
      <c r="C10" s="22" t="inlineStr">
        <is>
          <t>1週間</t>
        </is>
      </c>
      <c r="D10" s="8" t="inlineStr">
        <is>
          <t>並走案件数が増えても破綻しない</t>
        </is>
      </c>
    </row>
    <row r="11" ht="40" customHeight="1">
      <c r="A11" s="3" t="inlineStr">
        <is>
          <t>品質指標（NPS/完了率/定着率）</t>
        </is>
      </c>
      <c r="B11" s="3" t="inlineStr">
        <is>
          <t>Uni/Tim</t>
        </is>
      </c>
      <c r="C11" s="22" t="inlineStr">
        <is>
          <t>4週間</t>
        </is>
      </c>
      <c r="D11" s="8" t="inlineStr">
        <is>
          <t>継続/紹介の源泉。LTVを伸ばす</t>
        </is>
      </c>
    </row>
    <row r="12" ht="40" customHeight="1">
      <c r="A12" s="3" t="inlineStr">
        <is>
          <t>外注ネットワーク（必要時の増員）</t>
        </is>
      </c>
      <c r="B12" s="3" t="inlineStr">
        <is>
          <t>Tim</t>
        </is>
      </c>
      <c r="C12" s="22" t="inlineStr">
        <is>
          <t>6週間</t>
        </is>
      </c>
      <c r="D12" s="8" t="inlineStr">
        <is>
          <t>稼働超過リスクへの備え（容量モデルの警告に対応）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50" customWidth="1" min="5" max="5"/>
  </cols>
  <sheetData>
    <row r="1" ht="26" customHeight="1">
      <c r="A1" s="4" t="inlineStr">
        <is>
          <t>感度分析（シナリオ倍率の置き場）</t>
        </is>
      </c>
    </row>
    <row r="3" ht="48" customHeight="1">
      <c r="A3" s="23" t="inlineStr">
        <is>
          <t>使い方：ここで倍率を決め、1_前提の『シナリオ』を切り替えて検討材料にする。現状のモデルは新規契約数を手入力するため、倍率は主に『目標逆算』『議論のたたき台』用途。</t>
        </is>
      </c>
    </row>
    <row r="5" ht="22" customHeight="1">
      <c r="A5" s="1" t="inlineStr">
        <is>
          <t>シナリオ</t>
        </is>
      </c>
      <c r="B5" s="1" t="inlineStr">
        <is>
          <t>売価倍率</t>
        </is>
      </c>
      <c r="C5" s="1" t="inlineStr">
        <is>
          <t>新規獲得倍率</t>
        </is>
      </c>
      <c r="D5" s="1" t="inlineStr">
        <is>
          <t>工数倍率</t>
        </is>
      </c>
      <c r="E5" s="1" t="inlineStr">
        <is>
          <t>メモ</t>
        </is>
      </c>
    </row>
    <row r="6" ht="28" customHeight="1">
      <c r="A6" s="7" t="n">
        <v>1</v>
      </c>
      <c r="B6" s="11" t="n">
        <v>0.9</v>
      </c>
      <c r="C6" s="11" t="n">
        <v>0.7</v>
      </c>
      <c r="D6" s="11" t="n">
        <v>1.1</v>
      </c>
      <c r="E6" s="8" t="inlineStr">
        <is>
          <t>保守：値引き/獲得難/工数増（立ち上げ期のブレを織り込む）</t>
        </is>
      </c>
    </row>
    <row r="7" ht="28" customHeight="1">
      <c r="A7" s="7" t="n">
        <v>2</v>
      </c>
      <c r="B7" s="11" t="n">
        <v>1</v>
      </c>
      <c r="C7" s="11" t="n">
        <v>1</v>
      </c>
      <c r="D7" s="11" t="n">
        <v>1</v>
      </c>
      <c r="E7" s="8" t="inlineStr">
        <is>
          <t>標準：現状の仮説（ベースケース）</t>
        </is>
      </c>
    </row>
    <row r="8" ht="28" customHeight="1">
      <c r="A8" s="7" t="n">
        <v>3</v>
      </c>
      <c r="B8" s="11" t="n">
        <v>1.05</v>
      </c>
      <c r="C8" s="11" t="n">
        <v>1.3</v>
      </c>
      <c r="D8" s="11" t="n">
        <v>0.9</v>
      </c>
      <c r="E8" s="8" t="inlineStr">
        <is>
          <t>攻め：事例が刺さり獲得加速/テンプレ化で工数圧縮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t="inlineStr">
        <is>
          <t>貸借対照表（BS）月次（簡易）</t>
        </is>
      </c>
    </row>
    <row r="2">
      <c r="A2" t="inlineStr">
        <is>
          <t>※入金スケジュールと収益認識の差分から、未収（A/R）と前受（繰延収益）を簡易推計。税金/減価償却等は未考慮。</t>
        </is>
      </c>
    </row>
    <row r="4">
      <c r="A4" s="26" t="inlineStr">
        <is>
          <t>項目</t>
        </is>
      </c>
      <c r="B4" s="26" t="inlineStr">
        <is>
          <t>2026-01</t>
        </is>
      </c>
      <c r="C4" s="26" t="inlineStr">
        <is>
          <t>2026-02</t>
        </is>
      </c>
      <c r="D4" s="26" t="inlineStr">
        <is>
          <t>2026-03</t>
        </is>
      </c>
      <c r="E4" s="26" t="inlineStr">
        <is>
          <t>2026-04</t>
        </is>
      </c>
      <c r="F4" s="26" t="inlineStr">
        <is>
          <t>2026-05</t>
        </is>
      </c>
      <c r="G4" s="26" t="inlineStr">
        <is>
          <t>2026-06</t>
        </is>
      </c>
      <c r="H4" s="26" t="inlineStr">
        <is>
          <t>2026-07</t>
        </is>
      </c>
      <c r="I4" s="26" t="inlineStr">
        <is>
          <t>2026-08</t>
        </is>
      </c>
      <c r="J4" s="26" t="inlineStr">
        <is>
          <t>2026-09</t>
        </is>
      </c>
      <c r="K4" s="26" t="inlineStr">
        <is>
          <t>2026-10</t>
        </is>
      </c>
      <c r="L4" s="26" t="inlineStr">
        <is>
          <t>2026-11</t>
        </is>
      </c>
      <c r="M4" s="26" t="inlineStr">
        <is>
          <t>2026-12</t>
        </is>
      </c>
      <c r="N4" s="26" t="inlineStr">
        <is>
          <t>2027-01</t>
        </is>
      </c>
      <c r="O4" s="26" t="inlineStr">
        <is>
          <t>2027-02</t>
        </is>
      </c>
      <c r="P4" s="26" t="inlineStr">
        <is>
          <t>2027-03</t>
        </is>
      </c>
      <c r="Q4" s="26" t="inlineStr">
        <is>
          <t>2027-04</t>
        </is>
      </c>
      <c r="R4" s="26" t="inlineStr">
        <is>
          <t>2027-05</t>
        </is>
      </c>
      <c r="S4" s="26" t="inlineStr">
        <is>
          <t>2027-06</t>
        </is>
      </c>
      <c r="T4" s="26" t="inlineStr">
        <is>
          <t>2027-07</t>
        </is>
      </c>
      <c r="U4" s="26" t="inlineStr">
        <is>
          <t>2027-08</t>
        </is>
      </c>
      <c r="V4" s="26" t="inlineStr">
        <is>
          <t>2027-09</t>
        </is>
      </c>
      <c r="W4" s="26" t="inlineStr">
        <is>
          <t>2027-10</t>
        </is>
      </c>
      <c r="X4" s="26" t="inlineStr">
        <is>
          <t>2027-11</t>
        </is>
      </c>
      <c r="Y4" s="26" t="inlineStr">
        <is>
          <t>2027-12</t>
        </is>
      </c>
    </row>
    <row r="5">
      <c r="A5" s="27" t="inlineStr">
        <is>
          <t>資産</t>
        </is>
      </c>
      <c r="B5" s="28" t="n"/>
      <c r="C5" s="28" t="n"/>
      <c r="D5" s="28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</row>
    <row r="6">
      <c r="A6" s="27" t="inlineStr">
        <is>
          <t>現金</t>
        </is>
      </c>
      <c r="B6" s="29">
        <f>'7_Cash'!B10</f>
        <v/>
      </c>
      <c r="C6" s="29">
        <f>'7_Cash'!C10</f>
        <v/>
      </c>
      <c r="D6" s="29">
        <f>'7_Cash'!D10</f>
        <v/>
      </c>
      <c r="E6" s="29">
        <f>'7_Cash'!E10</f>
        <v/>
      </c>
      <c r="F6" s="29">
        <f>'7_Cash'!F10</f>
        <v/>
      </c>
      <c r="G6" s="29">
        <f>'7_Cash'!G10</f>
        <v/>
      </c>
      <c r="H6" s="29">
        <f>'7_Cash'!H10</f>
        <v/>
      </c>
      <c r="I6" s="29">
        <f>'7_Cash'!I10</f>
        <v/>
      </c>
      <c r="J6" s="29">
        <f>'7_Cash'!J10</f>
        <v/>
      </c>
      <c r="K6" s="29">
        <f>'7_Cash'!K10</f>
        <v/>
      </c>
      <c r="L6" s="29">
        <f>'7_Cash'!L10</f>
        <v/>
      </c>
      <c r="M6" s="29">
        <f>'7_Cash'!M10</f>
        <v/>
      </c>
      <c r="N6" s="29">
        <f>'7_Cash'!N10</f>
        <v/>
      </c>
      <c r="O6" s="29">
        <f>'7_Cash'!O10</f>
        <v/>
      </c>
      <c r="P6" s="29">
        <f>'7_Cash'!P10</f>
        <v/>
      </c>
      <c r="Q6" s="29">
        <f>'7_Cash'!Q10</f>
        <v/>
      </c>
      <c r="R6" s="29">
        <f>'7_Cash'!R10</f>
        <v/>
      </c>
      <c r="S6" s="29">
        <f>'7_Cash'!S10</f>
        <v/>
      </c>
      <c r="T6" s="29">
        <f>'7_Cash'!T10</f>
        <v/>
      </c>
      <c r="U6" s="29">
        <f>'7_Cash'!U10</f>
        <v/>
      </c>
      <c r="V6" s="29">
        <f>'7_Cash'!V10</f>
        <v/>
      </c>
      <c r="W6" s="29">
        <f>'7_Cash'!W10</f>
        <v/>
      </c>
      <c r="X6" s="29">
        <f>'7_Cash'!X10</f>
        <v/>
      </c>
      <c r="Y6" s="29">
        <f>'7_Cash'!Y10</f>
        <v/>
      </c>
    </row>
    <row r="7">
      <c r="A7" s="27" t="inlineStr">
        <is>
          <t>売掛金（未収）</t>
        </is>
      </c>
      <c r="B7" s="29">
        <f>MAX(B23,0)</f>
        <v/>
      </c>
      <c r="C7" s="29">
        <f>MAX(C23,0)</f>
        <v/>
      </c>
      <c r="D7" s="29">
        <f>MAX(D23,0)</f>
        <v/>
      </c>
      <c r="E7" s="29">
        <f>MAX(E23,0)</f>
        <v/>
      </c>
      <c r="F7" s="29">
        <f>MAX(F23,0)</f>
        <v/>
      </c>
      <c r="G7" s="29">
        <f>MAX(G23,0)</f>
        <v/>
      </c>
      <c r="H7" s="29">
        <f>MAX(H23,0)</f>
        <v/>
      </c>
      <c r="I7" s="29">
        <f>MAX(I23,0)</f>
        <v/>
      </c>
      <c r="J7" s="29">
        <f>MAX(J23,0)</f>
        <v/>
      </c>
      <c r="K7" s="29">
        <f>MAX(K23,0)</f>
        <v/>
      </c>
      <c r="L7" s="29">
        <f>MAX(L23,0)</f>
        <v/>
      </c>
      <c r="M7" s="29">
        <f>MAX(M23,0)</f>
        <v/>
      </c>
      <c r="N7" s="29">
        <f>MAX(N23,0)</f>
        <v/>
      </c>
      <c r="O7" s="29">
        <f>MAX(O23,0)</f>
        <v/>
      </c>
      <c r="P7" s="29">
        <f>MAX(P23,0)</f>
        <v/>
      </c>
      <c r="Q7" s="29">
        <f>MAX(Q23,0)</f>
        <v/>
      </c>
      <c r="R7" s="29">
        <f>MAX(R23,0)</f>
        <v/>
      </c>
      <c r="S7" s="29">
        <f>MAX(S23,0)</f>
        <v/>
      </c>
      <c r="T7" s="29">
        <f>MAX(T23,0)</f>
        <v/>
      </c>
      <c r="U7" s="29">
        <f>MAX(U23,0)</f>
        <v/>
      </c>
      <c r="V7" s="29">
        <f>MAX(V23,0)</f>
        <v/>
      </c>
      <c r="W7" s="29">
        <f>MAX(W23,0)</f>
        <v/>
      </c>
      <c r="X7" s="29">
        <f>MAX(X23,0)</f>
        <v/>
      </c>
      <c r="Y7" s="29">
        <f>MAX(Y23,0)</f>
        <v/>
      </c>
    </row>
    <row r="8">
      <c r="A8" s="27" t="inlineStr">
        <is>
          <t>資産合計</t>
        </is>
      </c>
      <c r="B8" s="29">
        <f>B6+B7</f>
        <v/>
      </c>
      <c r="C8" s="29">
        <f>C6+C7</f>
        <v/>
      </c>
      <c r="D8" s="29">
        <f>D6+D7</f>
        <v/>
      </c>
      <c r="E8" s="29">
        <f>E6+E7</f>
        <v/>
      </c>
      <c r="F8" s="29">
        <f>F6+F7</f>
        <v/>
      </c>
      <c r="G8" s="29">
        <f>G6+G7</f>
        <v/>
      </c>
      <c r="H8" s="29">
        <f>H6+H7</f>
        <v/>
      </c>
      <c r="I8" s="29">
        <f>I6+I7</f>
        <v/>
      </c>
      <c r="J8" s="29">
        <f>J6+J7</f>
        <v/>
      </c>
      <c r="K8" s="29">
        <f>K6+K7</f>
        <v/>
      </c>
      <c r="L8" s="29">
        <f>L6+L7</f>
        <v/>
      </c>
      <c r="M8" s="29">
        <f>M6+M7</f>
        <v/>
      </c>
      <c r="N8" s="29">
        <f>N6+N7</f>
        <v/>
      </c>
      <c r="O8" s="29">
        <f>O6+O7</f>
        <v/>
      </c>
      <c r="P8" s="29">
        <f>P6+P7</f>
        <v/>
      </c>
      <c r="Q8" s="29">
        <f>Q6+Q7</f>
        <v/>
      </c>
      <c r="R8" s="29">
        <f>R6+R7</f>
        <v/>
      </c>
      <c r="S8" s="29">
        <f>S6+S7</f>
        <v/>
      </c>
      <c r="T8" s="29">
        <f>T6+T7</f>
        <v/>
      </c>
      <c r="U8" s="29">
        <f>U6+U7</f>
        <v/>
      </c>
      <c r="V8" s="29">
        <f>V6+V7</f>
        <v/>
      </c>
      <c r="W8" s="29">
        <f>W6+W7</f>
        <v/>
      </c>
      <c r="X8" s="29">
        <f>X6+X7</f>
        <v/>
      </c>
      <c r="Y8" s="29">
        <f>Y6+Y7</f>
        <v/>
      </c>
    </row>
    <row r="9">
      <c r="A9" s="27" t="n"/>
      <c r="B9" s="29" t="n"/>
      <c r="C9" s="29" t="n"/>
      <c r="D9" s="29" t="n"/>
      <c r="E9" s="29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29" t="n"/>
      <c r="R9" s="29" t="n"/>
      <c r="S9" s="29" t="n"/>
      <c r="T9" s="29" t="n"/>
      <c r="U9" s="29" t="n"/>
      <c r="V9" s="29" t="n"/>
      <c r="W9" s="29" t="n"/>
      <c r="X9" s="29" t="n"/>
      <c r="Y9" s="29" t="n"/>
    </row>
    <row r="10">
      <c r="A10" s="27" t="inlineStr">
        <is>
          <t>負債</t>
        </is>
      </c>
      <c r="B10" s="29" t="n"/>
      <c r="C10" s="29" t="n"/>
      <c r="D10" s="29" t="n"/>
      <c r="E10" s="29" t="n"/>
      <c r="F10" s="29" t="n"/>
      <c r="G10" s="29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29" t="n"/>
      <c r="R10" s="29" t="n"/>
      <c r="S10" s="29" t="n"/>
      <c r="T10" s="29" t="n"/>
      <c r="U10" s="29" t="n"/>
      <c r="V10" s="29" t="n"/>
      <c r="W10" s="29" t="n"/>
      <c r="X10" s="29" t="n"/>
      <c r="Y10" s="29" t="n"/>
    </row>
    <row r="11">
      <c r="A11" s="27" t="inlineStr">
        <is>
          <t>繰延収益（前受）</t>
        </is>
      </c>
      <c r="B11" s="29">
        <f>MAX(-B23,0)</f>
        <v/>
      </c>
      <c r="C11" s="29">
        <f>MAX(-C23,0)</f>
        <v/>
      </c>
      <c r="D11" s="29">
        <f>MAX(-D23,0)</f>
        <v/>
      </c>
      <c r="E11" s="29">
        <f>MAX(-E23,0)</f>
        <v/>
      </c>
      <c r="F11" s="29">
        <f>MAX(-F23,0)</f>
        <v/>
      </c>
      <c r="G11" s="29">
        <f>MAX(-G23,0)</f>
        <v/>
      </c>
      <c r="H11" s="29">
        <f>MAX(-H23,0)</f>
        <v/>
      </c>
      <c r="I11" s="29">
        <f>MAX(-I23,0)</f>
        <v/>
      </c>
      <c r="J11" s="29">
        <f>MAX(-J23,0)</f>
        <v/>
      </c>
      <c r="K11" s="29">
        <f>MAX(-K23,0)</f>
        <v/>
      </c>
      <c r="L11" s="29">
        <f>MAX(-L23,0)</f>
        <v/>
      </c>
      <c r="M11" s="29">
        <f>MAX(-M23,0)</f>
        <v/>
      </c>
      <c r="N11" s="29">
        <f>MAX(-N23,0)</f>
        <v/>
      </c>
      <c r="O11" s="29">
        <f>MAX(-O23,0)</f>
        <v/>
      </c>
      <c r="P11" s="29">
        <f>MAX(-P23,0)</f>
        <v/>
      </c>
      <c r="Q11" s="29">
        <f>MAX(-Q23,0)</f>
        <v/>
      </c>
      <c r="R11" s="29">
        <f>MAX(-R23,0)</f>
        <v/>
      </c>
      <c r="S11" s="29">
        <f>MAX(-S23,0)</f>
        <v/>
      </c>
      <c r="T11" s="29">
        <f>MAX(-T23,0)</f>
        <v/>
      </c>
      <c r="U11" s="29">
        <f>MAX(-U23,0)</f>
        <v/>
      </c>
      <c r="V11" s="29">
        <f>MAX(-V23,0)</f>
        <v/>
      </c>
      <c r="W11" s="29">
        <f>MAX(-W23,0)</f>
        <v/>
      </c>
      <c r="X11" s="29">
        <f>MAX(-X23,0)</f>
        <v/>
      </c>
      <c r="Y11" s="29">
        <f>MAX(-Y23,0)</f>
        <v/>
      </c>
    </row>
    <row r="12">
      <c r="A12" s="27" t="inlineStr">
        <is>
          <t>負債合計</t>
        </is>
      </c>
      <c r="B12" s="29">
        <f>B11</f>
        <v/>
      </c>
      <c r="C12" s="29">
        <f>C11</f>
        <v/>
      </c>
      <c r="D12" s="29">
        <f>D11</f>
        <v/>
      </c>
      <c r="E12" s="29">
        <f>E11</f>
        <v/>
      </c>
      <c r="F12" s="29">
        <f>F11</f>
        <v/>
      </c>
      <c r="G12" s="29">
        <f>G11</f>
        <v/>
      </c>
      <c r="H12" s="29">
        <f>H11</f>
        <v/>
      </c>
      <c r="I12" s="29">
        <f>I11</f>
        <v/>
      </c>
      <c r="J12" s="29">
        <f>J11</f>
        <v/>
      </c>
      <c r="K12" s="29">
        <f>K11</f>
        <v/>
      </c>
      <c r="L12" s="29">
        <f>L11</f>
        <v/>
      </c>
      <c r="M12" s="29">
        <f>M11</f>
        <v/>
      </c>
      <c r="N12" s="29">
        <f>N11</f>
        <v/>
      </c>
      <c r="O12" s="29">
        <f>O11</f>
        <v/>
      </c>
      <c r="P12" s="29">
        <f>P11</f>
        <v/>
      </c>
      <c r="Q12" s="29">
        <f>Q11</f>
        <v/>
      </c>
      <c r="R12" s="29">
        <f>R11</f>
        <v/>
      </c>
      <c r="S12" s="29">
        <f>S11</f>
        <v/>
      </c>
      <c r="T12" s="29">
        <f>T11</f>
        <v/>
      </c>
      <c r="U12" s="29">
        <f>U11</f>
        <v/>
      </c>
      <c r="V12" s="29">
        <f>V11</f>
        <v/>
      </c>
      <c r="W12" s="29">
        <f>W11</f>
        <v/>
      </c>
      <c r="X12" s="29">
        <f>X11</f>
        <v/>
      </c>
      <c r="Y12" s="29">
        <f>Y11</f>
        <v/>
      </c>
    </row>
    <row r="13">
      <c r="A13" s="27" t="n"/>
      <c r="B13" s="29" t="n"/>
      <c r="C13" s="29" t="n"/>
      <c r="D13" s="29" t="n"/>
      <c r="E13" s="29" t="n"/>
      <c r="F13" s="29" t="n"/>
      <c r="G13" s="29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29" t="n"/>
      <c r="X13" s="29" t="n"/>
      <c r="Y13" s="29" t="n"/>
    </row>
    <row r="14">
      <c r="A14" s="27" t="inlineStr">
        <is>
          <t>純資産</t>
        </is>
      </c>
      <c r="B14" s="29" t="n"/>
      <c r="C14" s="29" t="n"/>
      <c r="D14" s="29" t="n"/>
      <c r="E14" s="29" t="n"/>
      <c r="F14" s="29" t="n"/>
      <c r="G14" s="29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29" t="n"/>
      <c r="R14" s="29" t="n"/>
      <c r="S14" s="29" t="n"/>
      <c r="T14" s="29" t="n"/>
      <c r="U14" s="29" t="n"/>
      <c r="V14" s="29" t="n"/>
      <c r="W14" s="29" t="n"/>
      <c r="X14" s="29" t="n"/>
      <c r="Y14" s="29" t="n"/>
    </row>
    <row r="15">
      <c r="A15" s="27" t="inlineStr">
        <is>
          <t>資本金（初期現金）</t>
        </is>
      </c>
      <c r="B15" s="29">
        <f>'7_Cash'!$B$3</f>
        <v/>
      </c>
      <c r="C15" s="29">
        <f>'7_Cash'!$B$3</f>
        <v/>
      </c>
      <c r="D15" s="29">
        <f>'7_Cash'!$B$3</f>
        <v/>
      </c>
      <c r="E15" s="29">
        <f>'7_Cash'!$B$3</f>
        <v/>
      </c>
      <c r="F15" s="29">
        <f>'7_Cash'!$B$3</f>
        <v/>
      </c>
      <c r="G15" s="29">
        <f>'7_Cash'!$B$3</f>
        <v/>
      </c>
      <c r="H15" s="29">
        <f>'7_Cash'!$B$3</f>
        <v/>
      </c>
      <c r="I15" s="29">
        <f>'7_Cash'!$B$3</f>
        <v/>
      </c>
      <c r="J15" s="29">
        <f>'7_Cash'!$B$3</f>
        <v/>
      </c>
      <c r="K15" s="29">
        <f>'7_Cash'!$B$3</f>
        <v/>
      </c>
      <c r="L15" s="29">
        <f>'7_Cash'!$B$3</f>
        <v/>
      </c>
      <c r="M15" s="29">
        <f>'7_Cash'!$B$3</f>
        <v/>
      </c>
      <c r="N15" s="29">
        <f>'7_Cash'!$B$3</f>
        <v/>
      </c>
      <c r="O15" s="29">
        <f>'7_Cash'!$B$3</f>
        <v/>
      </c>
      <c r="P15" s="29">
        <f>'7_Cash'!$B$3</f>
        <v/>
      </c>
      <c r="Q15" s="29">
        <f>'7_Cash'!$B$3</f>
        <v/>
      </c>
      <c r="R15" s="29">
        <f>'7_Cash'!$B$3</f>
        <v/>
      </c>
      <c r="S15" s="29">
        <f>'7_Cash'!$B$3</f>
        <v/>
      </c>
      <c r="T15" s="29">
        <f>'7_Cash'!$B$3</f>
        <v/>
      </c>
      <c r="U15" s="29">
        <f>'7_Cash'!$B$3</f>
        <v/>
      </c>
      <c r="V15" s="29">
        <f>'7_Cash'!$B$3</f>
        <v/>
      </c>
      <c r="W15" s="29">
        <f>'7_Cash'!$B$3</f>
        <v/>
      </c>
      <c r="X15" s="29">
        <f>'7_Cash'!$B$3</f>
        <v/>
      </c>
      <c r="Y15" s="29">
        <f>'7_Cash'!$B$3</f>
        <v/>
      </c>
    </row>
    <row r="16">
      <c r="A16" s="27" t="inlineStr">
        <is>
          <t>利益剰余金（累計：EBITDAベース）</t>
        </is>
      </c>
      <c r="B16" s="29">
        <f>B24</f>
        <v/>
      </c>
      <c r="C16" s="29">
        <f>C24</f>
        <v/>
      </c>
      <c r="D16" s="29">
        <f>D24</f>
        <v/>
      </c>
      <c r="E16" s="29">
        <f>E24</f>
        <v/>
      </c>
      <c r="F16" s="29">
        <f>F24</f>
        <v/>
      </c>
      <c r="G16" s="29">
        <f>G24</f>
        <v/>
      </c>
      <c r="H16" s="29">
        <f>H24</f>
        <v/>
      </c>
      <c r="I16" s="29">
        <f>I24</f>
        <v/>
      </c>
      <c r="J16" s="29">
        <f>J24</f>
        <v/>
      </c>
      <c r="K16" s="29">
        <f>K24</f>
        <v/>
      </c>
      <c r="L16" s="29">
        <f>L24</f>
        <v/>
      </c>
      <c r="M16" s="29">
        <f>M24</f>
        <v/>
      </c>
      <c r="N16" s="29">
        <f>N24</f>
        <v/>
      </c>
      <c r="O16" s="29">
        <f>O24</f>
        <v/>
      </c>
      <c r="P16" s="29">
        <f>P24</f>
        <v/>
      </c>
      <c r="Q16" s="29">
        <f>Q24</f>
        <v/>
      </c>
      <c r="R16" s="29">
        <f>R24</f>
        <v/>
      </c>
      <c r="S16" s="29">
        <f>S24</f>
        <v/>
      </c>
      <c r="T16" s="29">
        <f>T24</f>
        <v/>
      </c>
      <c r="U16" s="29">
        <f>U24</f>
        <v/>
      </c>
      <c r="V16" s="29">
        <f>V24</f>
        <v/>
      </c>
      <c r="W16" s="29">
        <f>W24</f>
        <v/>
      </c>
      <c r="X16" s="29">
        <f>X24</f>
        <v/>
      </c>
      <c r="Y16" s="29">
        <f>Y24</f>
        <v/>
      </c>
    </row>
    <row r="17">
      <c r="A17" s="27" t="inlineStr">
        <is>
          <t>純資産合計</t>
        </is>
      </c>
      <c r="B17" s="29">
        <f>B15+B16</f>
        <v/>
      </c>
      <c r="C17" s="29">
        <f>C15+C16</f>
        <v/>
      </c>
      <c r="D17" s="29">
        <f>D15+D16</f>
        <v/>
      </c>
      <c r="E17" s="29">
        <f>E15+E16</f>
        <v/>
      </c>
      <c r="F17" s="29">
        <f>F15+F16</f>
        <v/>
      </c>
      <c r="G17" s="29">
        <f>G15+G16</f>
        <v/>
      </c>
      <c r="H17" s="29">
        <f>H15+H16</f>
        <v/>
      </c>
      <c r="I17" s="29">
        <f>I15+I16</f>
        <v/>
      </c>
      <c r="J17" s="29">
        <f>J15+J16</f>
        <v/>
      </c>
      <c r="K17" s="29">
        <f>K15+K16</f>
        <v/>
      </c>
      <c r="L17" s="29">
        <f>L15+L16</f>
        <v/>
      </c>
      <c r="M17" s="29">
        <f>M15+M16</f>
        <v/>
      </c>
      <c r="N17" s="29">
        <f>N15+N16</f>
        <v/>
      </c>
      <c r="O17" s="29">
        <f>O15+O16</f>
        <v/>
      </c>
      <c r="P17" s="29">
        <f>P15+P16</f>
        <v/>
      </c>
      <c r="Q17" s="29">
        <f>Q15+Q16</f>
        <v/>
      </c>
      <c r="R17" s="29">
        <f>R15+R16</f>
        <v/>
      </c>
      <c r="S17" s="29">
        <f>S15+S16</f>
        <v/>
      </c>
      <c r="T17" s="29">
        <f>T15+T16</f>
        <v/>
      </c>
      <c r="U17" s="29">
        <f>U15+U16</f>
        <v/>
      </c>
      <c r="V17" s="29">
        <f>V15+V16</f>
        <v/>
      </c>
      <c r="W17" s="29">
        <f>W15+W16</f>
        <v/>
      </c>
      <c r="X17" s="29">
        <f>X15+X16</f>
        <v/>
      </c>
      <c r="Y17" s="29">
        <f>Y15+Y16</f>
        <v/>
      </c>
    </row>
    <row r="18">
      <c r="A18" s="27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29" t="n"/>
    </row>
    <row r="19">
      <c r="A19" s="27" t="inlineStr">
        <is>
          <t>差額チェック（資産-負債-純資産）</t>
        </is>
      </c>
      <c r="B19" s="29">
        <f>B8-B12-B17</f>
        <v/>
      </c>
      <c r="C19" s="29">
        <f>C8-C12-C17</f>
        <v/>
      </c>
      <c r="D19" s="29">
        <f>D8-D12-D17</f>
        <v/>
      </c>
      <c r="E19" s="29">
        <f>E8-E12-E17</f>
        <v/>
      </c>
      <c r="F19" s="29">
        <f>F8-F12-F17</f>
        <v/>
      </c>
      <c r="G19" s="29">
        <f>G8-G12-G17</f>
        <v/>
      </c>
      <c r="H19" s="29">
        <f>H8-H12-H17</f>
        <v/>
      </c>
      <c r="I19" s="29">
        <f>I8-I12-I17</f>
        <v/>
      </c>
      <c r="J19" s="29">
        <f>J8-J12-J17</f>
        <v/>
      </c>
      <c r="K19" s="29">
        <f>K8-K12-K17</f>
        <v/>
      </c>
      <c r="L19" s="29">
        <f>L8-L12-L17</f>
        <v/>
      </c>
      <c r="M19" s="29">
        <f>M8-M12-M17</f>
        <v/>
      </c>
      <c r="N19" s="29">
        <f>N8-N12-N17</f>
        <v/>
      </c>
      <c r="O19" s="29">
        <f>O8-O12-O17</f>
        <v/>
      </c>
      <c r="P19" s="29">
        <f>P8-P12-P17</f>
        <v/>
      </c>
      <c r="Q19" s="29">
        <f>Q8-Q12-Q17</f>
        <v/>
      </c>
      <c r="R19" s="29">
        <f>R8-R12-R17</f>
        <v/>
      </c>
      <c r="S19" s="29">
        <f>S8-S12-S17</f>
        <v/>
      </c>
      <c r="T19" s="29">
        <f>T8-T12-T17</f>
        <v/>
      </c>
      <c r="U19" s="29">
        <f>U8-U12-U17</f>
        <v/>
      </c>
      <c r="V19" s="29">
        <f>V8-V12-V17</f>
        <v/>
      </c>
      <c r="W19" s="29">
        <f>W8-W12-W17</f>
        <v/>
      </c>
      <c r="X19" s="29">
        <f>X8-X12-X17</f>
        <v/>
      </c>
      <c r="Y19" s="29">
        <f>Y8-Y12-Y17</f>
        <v/>
      </c>
    </row>
    <row r="22">
      <c r="A22" t="inlineStr">
        <is>
          <t>補助計算</t>
        </is>
      </c>
    </row>
    <row r="23">
      <c r="A23" t="inlineStr">
        <is>
          <t>累計差分（収益-入金）</t>
        </is>
      </c>
      <c r="B23" s="30">
        <f>('4_売上計画'!B19-'4_売上計画'!B25)</f>
        <v/>
      </c>
      <c r="C23" s="30">
        <f>B23+('4_売上計画'!C19-'4_売上計画'!C25)</f>
        <v/>
      </c>
      <c r="D23" s="30">
        <f>C23+('4_売上計画'!D19-'4_売上計画'!D25)</f>
        <v/>
      </c>
      <c r="E23" s="30">
        <f>D23+('4_売上計画'!E19-'4_売上計画'!E25)</f>
        <v/>
      </c>
      <c r="F23" s="30">
        <f>E23+('4_売上計画'!F19-'4_売上計画'!F25)</f>
        <v/>
      </c>
      <c r="G23" s="30">
        <f>F23+('4_売上計画'!G19-'4_売上計画'!G25)</f>
        <v/>
      </c>
      <c r="H23" s="30">
        <f>G23+('4_売上計画'!H19-'4_売上計画'!H25)</f>
        <v/>
      </c>
      <c r="I23" s="30">
        <f>H23+('4_売上計画'!I19-'4_売上計画'!I25)</f>
        <v/>
      </c>
      <c r="J23" s="30">
        <f>I23+('4_売上計画'!J19-'4_売上計画'!J25)</f>
        <v/>
      </c>
      <c r="K23" s="30">
        <f>J23+('4_売上計画'!K19-'4_売上計画'!K25)</f>
        <v/>
      </c>
      <c r="L23" s="30">
        <f>K23+('4_売上計画'!L19-'4_売上計画'!L25)</f>
        <v/>
      </c>
      <c r="M23" s="30">
        <f>L23+('4_売上計画'!M19-'4_売上計画'!M25)</f>
        <v/>
      </c>
      <c r="N23" s="30">
        <f>M23+('4_売上計画'!N19-'4_売上計画'!N25)</f>
        <v/>
      </c>
      <c r="O23" s="30">
        <f>N23+('4_売上計画'!O19-'4_売上計画'!O25)</f>
        <v/>
      </c>
      <c r="P23" s="30">
        <f>O23+('4_売上計画'!P19-'4_売上計画'!P25)</f>
        <v/>
      </c>
      <c r="Q23" s="30">
        <f>P23+('4_売上計画'!Q19-'4_売上計画'!Q25)</f>
        <v/>
      </c>
      <c r="R23" s="30">
        <f>Q23+('4_売上計画'!R19-'4_売上計画'!R25)</f>
        <v/>
      </c>
      <c r="S23" s="30">
        <f>R23+('4_売上計画'!S19-'4_売上計画'!S25)</f>
        <v/>
      </c>
      <c r="T23" s="30">
        <f>S23+('4_売上計画'!T19-'4_売上計画'!T25)</f>
        <v/>
      </c>
      <c r="U23" s="30">
        <f>T23+('4_売上計画'!U19-'4_売上計画'!U25)</f>
        <v/>
      </c>
      <c r="V23" s="30">
        <f>U23+('4_売上計画'!V19-'4_売上計画'!V25)</f>
        <v/>
      </c>
      <c r="W23" s="30">
        <f>V23+('4_売上計画'!W19-'4_売上計画'!W25)</f>
        <v/>
      </c>
      <c r="X23" s="30">
        <f>W23+('4_売上計画'!X19-'4_売上計画'!X25)</f>
        <v/>
      </c>
      <c r="Y23" s="30">
        <f>X23+('4_売上計画'!Y19-'4_売上計画'!Y25)</f>
        <v/>
      </c>
    </row>
    <row r="24">
      <c r="A24" t="inlineStr">
        <is>
          <t>累計EBITDA（P&amp;L）</t>
        </is>
      </c>
      <c r="B24" s="30">
        <f>'6_P&amp;L'!B10</f>
        <v/>
      </c>
      <c r="C24" s="30">
        <f>B24+'6_P&amp;L'!C10</f>
        <v/>
      </c>
      <c r="D24" s="30">
        <f>C24+'6_P&amp;L'!D10</f>
        <v/>
      </c>
      <c r="E24" s="30">
        <f>D24+'6_P&amp;L'!E10</f>
        <v/>
      </c>
      <c r="F24" s="30">
        <f>E24+'6_P&amp;L'!F10</f>
        <v/>
      </c>
      <c r="G24" s="30">
        <f>F24+'6_P&amp;L'!G10</f>
        <v/>
      </c>
      <c r="H24" s="30">
        <f>G24+'6_P&amp;L'!H10</f>
        <v/>
      </c>
      <c r="I24" s="30">
        <f>H24+'6_P&amp;L'!I10</f>
        <v/>
      </c>
      <c r="J24" s="30">
        <f>I24+'6_P&amp;L'!J10</f>
        <v/>
      </c>
      <c r="K24" s="30">
        <f>J24+'6_P&amp;L'!K10</f>
        <v/>
      </c>
      <c r="L24" s="30">
        <f>K24+'6_P&amp;L'!L10</f>
        <v/>
      </c>
      <c r="M24" s="30">
        <f>L24+'6_P&amp;L'!M10</f>
        <v/>
      </c>
      <c r="N24" s="30">
        <f>M24+'6_P&amp;L'!N10</f>
        <v/>
      </c>
      <c r="O24" s="30">
        <f>N24+'6_P&amp;L'!O10</f>
        <v/>
      </c>
      <c r="P24" s="30">
        <f>O24+'6_P&amp;L'!P10</f>
        <v/>
      </c>
      <c r="Q24" s="30">
        <f>P24+'6_P&amp;L'!Q10</f>
        <v/>
      </c>
      <c r="R24" s="30">
        <f>Q24+'6_P&amp;L'!R10</f>
        <v/>
      </c>
      <c r="S24" s="30">
        <f>R24+'6_P&amp;L'!S10</f>
        <v/>
      </c>
      <c r="T24" s="30">
        <f>S24+'6_P&amp;L'!T10</f>
        <v/>
      </c>
      <c r="U24" s="30">
        <f>T24+'6_P&amp;L'!U10</f>
        <v/>
      </c>
      <c r="V24" s="30">
        <f>U24+'6_P&amp;L'!V10</f>
        <v/>
      </c>
      <c r="W24" s="30">
        <f>V24+'6_P&amp;L'!W10</f>
        <v/>
      </c>
      <c r="X24" s="30">
        <f>W24+'6_P&amp;L'!X10</f>
        <v/>
      </c>
      <c r="Y24" s="30">
        <f>X24+'6_P&amp;L'!Y10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2026-01-24T00:13:33Z</dcterms:created>
  <dcterms:modified xmlns:dcterms="http://purl.org/dc/terms/" xmlns:xsi="http://www.w3.org/2001/XMLSchema-instance" xsi:type="dcterms:W3CDTF">2026-01-24T01:30:26Z</dcterms:modified>
</cp:coreProperties>
</file>