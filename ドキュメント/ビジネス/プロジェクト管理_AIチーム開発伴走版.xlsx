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前提・方針" sheetId="1" state="visible" r:id="rId1"/>
    <sheet xmlns:r="http://schemas.openxmlformats.org/officeDocument/2006/relationships" name="02_プラン定義" sheetId="2" state="visible" r:id="rId2"/>
    <sheet xmlns:r="http://schemas.openxmlformats.org/officeDocument/2006/relationships" name="03_営業ファネルKPI" sheetId="3" state="visible" r:id="rId3"/>
    <sheet xmlns:r="http://schemas.openxmlformats.org/officeDocument/2006/relationships" name="04_WBS" sheetId="4" state="visible" r:id="rId4"/>
    <sheet xmlns:r="http://schemas.openxmlformats.org/officeDocument/2006/relationships" name="05_ガント" sheetId="5" state="visible" r:id="rId5"/>
    <sheet xmlns:r="http://schemas.openxmlformats.org/officeDocument/2006/relationships" name="06_案件トラッカー" sheetId="6" state="visible" r:id="rId6"/>
    <sheet xmlns:r="http://schemas.openxmlformats.org/officeDocument/2006/relationships" name="07_容量" sheetId="7" state="visible" r:id="rId7"/>
    <sheet xmlns:r="http://schemas.openxmlformats.org/officeDocument/2006/relationships" name="08_RACI" sheetId="8" state="visible" r:id="rId8"/>
    <sheet xmlns:r="http://schemas.openxmlformats.org/officeDocument/2006/relationships" name="09_リスクログ" sheetId="9" state="visible" r:id="rId9"/>
    <sheet xmlns:r="http://schemas.openxmlformats.org/officeDocument/2006/relationships" name="10_月次売上計画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4">
    <font>
      <name val="Calibri"/>
      <family val="2"/>
      <color theme="1"/>
      <sz val="11"/>
      <scheme val="minor"/>
    </font>
    <font>
      <color rgb="000000FF"/>
    </font>
    <font>
      <color rgb="0000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9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2">
    <dxf>
      <fill>
        <patternFill patternType="solid">
          <fgColor rgb="009BC2E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6" customWidth="1" min="3" max="3"/>
  </cols>
  <sheetData>
    <row r="1">
      <c r="A1" s="1" t="inlineStr">
        <is>
          <t>入力（変更してOK）</t>
        </is>
      </c>
    </row>
    <row r="2">
      <c r="A2" s="2" t="inlineStr">
        <is>
          <t>項目</t>
        </is>
      </c>
      <c r="B2" s="2" t="inlineStr">
        <is>
          <t>説明</t>
        </is>
      </c>
      <c r="C2" s="2" t="inlineStr">
        <is>
          <t>値</t>
        </is>
      </c>
    </row>
    <row r="3">
      <c r="A3" s="3" t="inlineStr">
        <is>
          <t>プロジェクト開始日</t>
        </is>
      </c>
      <c r="B3" s="3" t="inlineStr">
        <is>
          <t>WBS/ガントの基準日</t>
        </is>
      </c>
      <c r="C3" s="4" t="n">
        <v>46037</v>
      </c>
    </row>
    <row r="4">
      <c r="A4" s="3" t="inlineStr">
        <is>
          <t>主訴求（全面に出す）</t>
        </is>
      </c>
      <c r="B4" s="3" t="inlineStr">
        <is>
          <t>マーケの一番上に置く価値提案</t>
        </is>
      </c>
      <c r="C4" s="5" t="inlineStr">
        <is>
          <t>AIチーム開発 伴走支援</t>
        </is>
      </c>
    </row>
    <row r="5">
      <c r="A5" s="3" t="inlineStr">
        <is>
          <t>主軸サービス（LP表示用）</t>
        </is>
      </c>
      <c r="B5" s="3" t="inlineStr">
        <is>
          <t>プラン設計に合わせて調整</t>
        </is>
      </c>
      <c r="C5" s="5" t="inlineStr">
        <is>
          <t>生成AIを使いこなす人材育成（AIチーム開発/研修）</t>
        </is>
      </c>
    </row>
    <row r="6">
      <c r="A6" s="3" t="inlineStr">
        <is>
          <t>ターゲット（暫定）</t>
        </is>
      </c>
      <c r="B6" s="3" t="inlineStr">
        <is>
          <t>企業向け</t>
        </is>
      </c>
      <c r="C6" s="5" t="inlineStr">
        <is>
          <t>企業向け（部門長/現場責任者/人事）</t>
        </is>
      </c>
    </row>
    <row r="7">
      <c r="A7" s="3" t="inlineStr">
        <is>
          <t>一次KPI</t>
        </is>
      </c>
      <c r="B7" s="3" t="inlineStr">
        <is>
          <t>営業シミュレーションで使うKPI</t>
        </is>
      </c>
      <c r="C7" s="5" t="inlineStr">
        <is>
          <t>月次 新規受注数（ライトニング/伴走/研修）</t>
        </is>
      </c>
    </row>
    <row r="8">
      <c r="A8" s="3" t="inlineStr">
        <is>
          <t>寿命仮説</t>
        </is>
      </c>
      <c r="B8" s="3" t="inlineStr">
        <is>
          <t>計画期間の前提</t>
        </is>
      </c>
      <c r="C8" s="5" t="inlineStr">
        <is>
          <t>2年（生成AI領域単体の優位が短命という仮説）</t>
        </is>
      </c>
    </row>
    <row r="9">
      <c r="A9" s="3" t="inlineStr">
        <is>
          <t>制作対象</t>
        </is>
      </c>
      <c r="B9" s="3" t="inlineStr">
        <is>
          <t>サイト＋LP＋営業資料</t>
        </is>
      </c>
      <c r="C9" s="5" t="inlineStr">
        <is>
          <t>LP（1枚）＋提案書＋事例/図解＋運用SOP</t>
        </is>
      </c>
    </row>
    <row r="10">
      <c r="A10" s="3" t="inlineStr">
        <is>
          <t>運用体制</t>
        </is>
      </c>
      <c r="B10" s="3" t="inlineStr">
        <is>
          <t>窓口/ファシリ、現場参加</t>
        </is>
      </c>
      <c r="C10" s="5" t="inlineStr">
        <is>
          <t>Sat=窓口/ファシリ｜Uni,Tim=現場参加(インストラクター)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22" customWidth="1" min="6" max="6"/>
    <col width="12" customWidth="1" min="7" max="7"/>
    <col width="10" customWidth="1" min="8" max="8"/>
    <col width="10" customWidth="1" min="9" max="9"/>
    <col width="10" customWidth="1" min="10" max="10"/>
    <col width="40" customWidth="1" min="11" max="11"/>
    <col width="16" customWidth="1" min="12" max="12"/>
    <col width="24" customWidth="1" min="13" max="13"/>
  </cols>
  <sheetData>
    <row r="1">
      <c r="A1" s="2" t="inlineStr">
        <is>
          <t>プラン</t>
        </is>
      </c>
      <c r="B1" s="2" t="inlineStr">
        <is>
          <t>期間（ヶ月）</t>
        </is>
      </c>
      <c r="C1" s="2" t="inlineStr">
        <is>
          <t>参加人数（最小）</t>
        </is>
      </c>
      <c r="D1" s="2" t="inlineStr">
        <is>
          <t>参加人数（最大）</t>
        </is>
      </c>
      <c r="E1" s="2" t="inlineStr">
        <is>
          <t>価格（円）</t>
        </is>
      </c>
      <c r="F1" s="2" t="inlineStr">
        <is>
          <t>支払条件（例）</t>
        </is>
      </c>
      <c r="G1" s="2" t="inlineStr">
        <is>
          <t>会議頻度/週</t>
        </is>
      </c>
      <c r="H1" s="2" t="inlineStr">
        <is>
          <t>Sat h/週</t>
        </is>
      </c>
      <c r="I1" s="2" t="inlineStr">
        <is>
          <t>Uni h/週</t>
        </is>
      </c>
      <c r="J1" s="2" t="inlineStr">
        <is>
          <t>Tim h/週</t>
        </is>
      </c>
      <c r="K1" s="2" t="inlineStr">
        <is>
          <t>標準成果物（要約）</t>
        </is>
      </c>
      <c r="L1" s="2" t="inlineStr">
        <is>
          <t>想定 月次売上（円）</t>
        </is>
      </c>
      <c r="M1" s="2" t="inlineStr">
        <is>
          <t>想定 総工数h（週あたり×週数）</t>
        </is>
      </c>
    </row>
    <row r="2">
      <c r="A2" s="3" t="inlineStr">
        <is>
          <t>AIチーム開発 伴走（標準）</t>
        </is>
      </c>
      <c r="B2" s="6" t="n">
        <v>3</v>
      </c>
      <c r="C2" s="6" t="n">
        <v>3</v>
      </c>
      <c r="D2" s="6" t="n">
        <v>5</v>
      </c>
      <c r="E2" s="6" t="n">
        <v>3000000</v>
      </c>
      <c r="F2" s="5" t="inlineStr">
        <is>
          <t>50%前受 + 50%月末/検収</t>
        </is>
      </c>
      <c r="G2" s="6" t="n">
        <v>2</v>
      </c>
      <c r="H2" s="6" t="n">
        <v>6</v>
      </c>
      <c r="I2" s="6" t="n">
        <v>4</v>
      </c>
      <c r="J2" s="6" t="n">
        <v>4</v>
      </c>
      <c r="K2" s="5" t="inlineStr">
        <is>
          <t>診断→設計→実装伴走→定着（テンプレ/SOP/事例化）</t>
        </is>
      </c>
      <c r="L2" s="7">
        <f>IF(B2="","",E2/B2)</f>
        <v/>
      </c>
      <c r="M2" s="7">
        <f>IF(B2="","",(H2+I2+J2)*(B2*4.33))</f>
        <v/>
      </c>
    </row>
    <row r="3">
      <c r="A3" s="3" t="inlineStr">
        <is>
          <t>AIチーム開発 伴走（ライトニング）</t>
        </is>
      </c>
      <c r="B3" s="6" t="n">
        <v>1</v>
      </c>
      <c r="C3" s="6" t="n">
        <v>3</v>
      </c>
      <c r="D3" s="6" t="n">
        <v>5</v>
      </c>
      <c r="E3" s="6" t="n">
        <v>5000000</v>
      </c>
      <c r="F3" s="5" t="inlineStr">
        <is>
          <t>100%前受（短期集中）</t>
        </is>
      </c>
      <c r="G3" s="6" t="n">
        <v>3</v>
      </c>
      <c r="H3" s="6" t="n">
        <v>10</v>
      </c>
      <c r="I3" s="6" t="n">
        <v>8</v>
      </c>
      <c r="J3" s="6" t="n">
        <v>8</v>
      </c>
      <c r="K3" s="5" t="inlineStr">
        <is>
          <t>短期で成果物を作り切る（ユースケース/テンプレ/運用設計）</t>
        </is>
      </c>
      <c r="L3" s="7">
        <f>IF(B3="","",E3/B3)</f>
        <v/>
      </c>
      <c r="M3" s="7">
        <f>IF(B3="","",(H3+I3+J3)*(B3*4.33))</f>
        <v/>
      </c>
    </row>
    <row r="4">
      <c r="A4" s="3" t="inlineStr">
        <is>
          <t>生成AI研修（入口）</t>
        </is>
      </c>
      <c r="B4" s="6" t="n">
        <v>1</v>
      </c>
      <c r="C4" s="6" t="n">
        <v>10</v>
      </c>
      <c r="D4" s="6" t="n">
        <v>30</v>
      </c>
      <c r="E4" s="6" t="n">
        <v>1200000</v>
      </c>
      <c r="F4" s="5" t="inlineStr">
        <is>
          <t>100%前受</t>
        </is>
      </c>
      <c r="G4" s="6" t="n">
        <v>1</v>
      </c>
      <c r="H4" s="6" t="n">
        <v>3</v>
      </c>
      <c r="I4" s="6" t="n">
        <v>2</v>
      </c>
      <c r="J4" s="6" t="n">
        <v>2</v>
      </c>
      <c r="K4" s="5" t="inlineStr">
        <is>
          <t>基礎→業務適用→チーム内共有（研修資料/課題/評価）</t>
        </is>
      </c>
      <c r="L4" s="7">
        <f>IF(B4="","",E4/B4)</f>
        <v/>
      </c>
      <c r="M4" s="7">
        <f>IF(B4="","",(H4+I4+J4)*(B4*4.33))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入力（変更してOK）</t>
        </is>
      </c>
    </row>
    <row r="2">
      <c r="A2" s="3" t="inlineStr">
        <is>
          <t>ファネル率（仮）</t>
        </is>
      </c>
    </row>
    <row r="3">
      <c r="A3" s="3" t="inlineStr">
        <is>
          <t>リード→初回MTG</t>
        </is>
      </c>
      <c r="B3" s="8" t="n">
        <v>0.2</v>
      </c>
    </row>
    <row r="4">
      <c r="A4" s="3" t="inlineStr">
        <is>
          <t>初回MTG→提案</t>
        </is>
      </c>
      <c r="B4" s="8" t="n">
        <v>0.6</v>
      </c>
    </row>
    <row r="5">
      <c r="A5" s="3" t="inlineStr">
        <is>
          <t>提案→受注</t>
        </is>
      </c>
      <c r="B5" s="8" t="n">
        <v>0.25</v>
      </c>
    </row>
    <row r="8">
      <c r="A8" s="2" t="inlineStr">
        <is>
          <t>プラン</t>
        </is>
      </c>
      <c r="B8" s="2" t="inlineStr">
        <is>
          <t>月次 受注（件）</t>
        </is>
      </c>
      <c r="C8" s="2" t="inlineStr">
        <is>
          <t>単価（円）</t>
        </is>
      </c>
      <c r="D8" s="2" t="inlineStr">
        <is>
          <t>月次 売上（円）</t>
        </is>
      </c>
      <c r="E8" s="2" t="inlineStr">
        <is>
          <t>必要提案数</t>
        </is>
      </c>
      <c r="F8" s="2" t="inlineStr">
        <is>
          <t>必要初回MTG数</t>
        </is>
      </c>
      <c r="G8" s="2" t="inlineStr">
        <is>
          <t>必要リード数</t>
        </is>
      </c>
    </row>
    <row r="9">
      <c r="A9" s="3" t="inlineStr">
        <is>
          <t>AIチーム開発 伴走（標準）</t>
        </is>
      </c>
      <c r="B9" s="6" t="n">
        <v>0</v>
      </c>
      <c r="C9" s="7">
        <f>IF(A9="","",XLOOKUP(A9,'02_プラン定義'!$A$2:$A$50,'02_プラン定義'!$E$2:$E$50))</f>
        <v/>
      </c>
      <c r="D9" s="7">
        <f>B9*C9</f>
        <v/>
      </c>
      <c r="E9" s="7">
        <f>IF(B9=0,0,B9/$B$5)</f>
        <v/>
      </c>
      <c r="F9" s="7">
        <f>IF(E9=0,0,E9/$B$4)</f>
        <v/>
      </c>
      <c r="G9" s="7">
        <f>IF(F9=0,0,F9/$B$3)</f>
        <v/>
      </c>
    </row>
    <row r="10">
      <c r="A10" s="3" t="inlineStr">
        <is>
          <t>AIチーム開発 伴走（ライトニング）</t>
        </is>
      </c>
      <c r="B10" s="6" t="n">
        <v>0</v>
      </c>
      <c r="C10" s="7">
        <f>IF(A10="","",XLOOKUP(A10,'02_プラン定義'!$A$2:$A$50,'02_プラン定義'!$E$2:$E$50))</f>
        <v/>
      </c>
      <c r="D10" s="7">
        <f>B10*C10</f>
        <v/>
      </c>
      <c r="E10" s="7">
        <f>IF(B10=0,0,B10/$B$5)</f>
        <v/>
      </c>
      <c r="F10" s="7">
        <f>IF(E10=0,0,E10/$B$4)</f>
        <v/>
      </c>
      <c r="G10" s="7">
        <f>IF(F10=0,0,F10/$B$3)</f>
        <v/>
      </c>
    </row>
    <row r="11">
      <c r="A11" s="3" t="inlineStr">
        <is>
          <t>生成AI研修（入口）</t>
        </is>
      </c>
      <c r="B11" s="6" t="n">
        <v>0</v>
      </c>
      <c r="C11" s="7">
        <f>IF(A11="","",XLOOKUP(A11,'02_プラン定義'!$A$2:$A$50,'02_プラン定義'!$E$2:$E$50))</f>
        <v/>
      </c>
      <c r="D11" s="7">
        <f>B11*C11</f>
        <v/>
      </c>
      <c r="E11" s="7">
        <f>IF(B11=0,0,B11/$B$5)</f>
        <v/>
      </c>
      <c r="F11" s="7">
        <f>IF(E11=0,0,E11/$B$4)</f>
        <v/>
      </c>
      <c r="G11" s="7">
        <f>IF(F11=0,0,F11/$B$3)</f>
        <v/>
      </c>
    </row>
    <row r="12">
      <c r="A12" s="9" t="inlineStr">
        <is>
          <t>合計</t>
        </is>
      </c>
      <c r="B12" s="10">
        <f>SUM(B9:B11)</f>
        <v/>
      </c>
      <c r="C12" s="10">
        <f>SUM(C9:C11)</f>
        <v/>
      </c>
      <c r="D12" s="10">
        <f>SUM(D9:D11)</f>
        <v/>
      </c>
      <c r="E12" s="10">
        <f>SUM(E9:E11)</f>
        <v/>
      </c>
      <c r="F12" s="10">
        <f>SUM(F9:F11)</f>
        <v/>
      </c>
      <c r="G12" s="10">
        <f>SUM(G9:G11)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24" customWidth="1" min="4" max="4"/>
    <col width="28" customWidth="1" min="5" max="5"/>
    <col width="14" customWidth="1" min="6" max="6"/>
    <col width="12" customWidth="1" min="7" max="7"/>
    <col width="12" customWidth="1" min="8" max="8"/>
    <col width="10" customWidth="1" min="9" max="9"/>
    <col width="14" customWidth="1" min="10" max="10"/>
    <col width="14" customWidth="1" min="11" max="11"/>
    <col width="12" customWidth="1" min="12" max="12"/>
    <col width="18" customWidth="1" min="13" max="13"/>
    <col width="16" customWidth="1" min="14" max="14"/>
  </cols>
  <sheetData>
    <row r="1">
      <c r="A1" s="2" t="inlineStr">
        <is>
          <t>ID</t>
        </is>
      </c>
      <c r="B1" s="2" t="inlineStr">
        <is>
          <t>ワークストリーム</t>
        </is>
      </c>
      <c r="C1" s="2" t="inlineStr">
        <is>
          <t>フェーズ</t>
        </is>
      </c>
      <c r="D1" s="2" t="inlineStr">
        <is>
          <t>タスク</t>
        </is>
      </c>
      <c r="E1" s="2" t="inlineStr">
        <is>
          <t>成果物/アウトプット</t>
        </is>
      </c>
      <c r="F1" s="2" t="inlineStr">
        <is>
          <t>担当（人物）</t>
        </is>
      </c>
      <c r="G1" s="2" t="inlineStr">
        <is>
          <t>担当（ロール）</t>
        </is>
      </c>
      <c r="H1" s="2" t="inlineStr">
        <is>
          <t>工数（営業日）</t>
        </is>
      </c>
      <c r="I1" s="2" t="inlineStr">
        <is>
          <t>先行ID</t>
        </is>
      </c>
      <c r="J1" s="2" t="inlineStr">
        <is>
          <t>開始日（入力）</t>
        </is>
      </c>
      <c r="K1" s="2" t="inlineStr">
        <is>
          <t>終了日（自動）</t>
        </is>
      </c>
      <c r="L1" s="2" t="inlineStr">
        <is>
          <t>状態</t>
        </is>
      </c>
      <c r="M1" s="2" t="inlineStr">
        <is>
          <t>メモ</t>
        </is>
      </c>
      <c r="N1" s="2" t="inlineStr">
        <is>
          <t>自動開始日（候補）</t>
        </is>
      </c>
    </row>
    <row r="2">
      <c r="A2" s="11" t="inlineStr">
        <is>
          <t>T001</t>
        </is>
      </c>
      <c r="B2" s="3" t="inlineStr">
        <is>
          <t>0.準備</t>
        </is>
      </c>
      <c r="C2" s="3" t="inlineStr">
        <is>
          <t>キックオフ</t>
        </is>
      </c>
      <c r="D2" s="3" t="inlineStr">
        <is>
          <t>キックオフ</t>
        </is>
      </c>
      <c r="E2" s="3" t="inlineStr">
        <is>
          <t>目的/体制/進め方合意</t>
        </is>
      </c>
      <c r="F2" s="3" t="inlineStr">
        <is>
          <t>Sat</t>
        </is>
      </c>
      <c r="G2" s="3" t="inlineStr">
        <is>
          <t>PM</t>
        </is>
      </c>
      <c r="H2" s="6" t="n">
        <v>1</v>
      </c>
      <c r="I2" s="6" t="inlineStr"/>
      <c r="J2" s="6" t="inlineStr"/>
      <c r="K2" s="7">
        <f>IF(J2="","",WORKDAY(J2,H2-1))</f>
        <v/>
      </c>
      <c r="L2" s="5" t="inlineStr">
        <is>
          <t>Not Started</t>
        </is>
      </c>
      <c r="M2" s="5" t="inlineStr"/>
      <c r="N2" s="12">
        <f>IF(I2="","",WORKDAY(IFERROR(XLOOKUP(I2,$A$2:$A$500,$K$2:$K$500),'01_前提・方針'!$C$3),1))</f>
        <v/>
      </c>
    </row>
    <row r="3">
      <c r="A3" s="11" t="inlineStr">
        <is>
          <t>T002</t>
        </is>
      </c>
      <c r="B3" s="3" t="inlineStr">
        <is>
          <t>0.準備</t>
        </is>
      </c>
      <c r="C3" s="3" t="inlineStr">
        <is>
          <t>成功条件</t>
        </is>
      </c>
      <c r="D3" s="3" t="inlineStr">
        <is>
          <t>KPI/OKR定義</t>
        </is>
      </c>
      <c r="E3" s="3" t="inlineStr">
        <is>
          <t>KPI（受注/稼働/粗利/満足）</t>
        </is>
      </c>
      <c r="F3" s="3" t="inlineStr">
        <is>
          <t>Sat</t>
        </is>
      </c>
      <c r="G3" s="3" t="inlineStr">
        <is>
          <t>PM</t>
        </is>
      </c>
      <c r="H3" s="6" t="n">
        <v>2</v>
      </c>
      <c r="I3" s="6" t="inlineStr">
        <is>
          <t>T001</t>
        </is>
      </c>
      <c r="J3" s="6" t="inlineStr"/>
      <c r="K3" s="7">
        <f>IF(J3="","",WORKDAY(J3,H3-1))</f>
        <v/>
      </c>
      <c r="L3" s="5" t="inlineStr">
        <is>
          <t>Not Started</t>
        </is>
      </c>
      <c r="M3" s="5" t="inlineStr"/>
      <c r="N3" s="12">
        <f>IF(I3="","",WORKDAY(IFERROR(XLOOKUP(I3,$A$2:$A$500,$K$2:$K$500),'01_前提・方針'!$C$3),1))</f>
        <v/>
      </c>
    </row>
    <row r="4">
      <c r="A4" s="11" t="inlineStr">
        <is>
          <t>T003</t>
        </is>
      </c>
      <c r="B4" s="3" t="inlineStr">
        <is>
          <t>0.準備</t>
        </is>
      </c>
      <c r="C4" s="3" t="inlineStr">
        <is>
          <t>体制</t>
        </is>
      </c>
      <c r="D4" s="3" t="inlineStr">
        <is>
          <t>RACI/会議体確定</t>
        </is>
      </c>
      <c r="E4" s="3" t="inlineStr">
        <is>
          <t>RACI/定例設計/議事録テンプレ</t>
        </is>
      </c>
      <c r="F4" s="3" t="inlineStr">
        <is>
          <t>Sat</t>
        </is>
      </c>
      <c r="G4" s="3" t="inlineStr">
        <is>
          <t>PM</t>
        </is>
      </c>
      <c r="H4" s="6" t="n">
        <v>1</v>
      </c>
      <c r="I4" s="6" t="inlineStr">
        <is>
          <t>T001</t>
        </is>
      </c>
      <c r="J4" s="6" t="inlineStr"/>
      <c r="K4" s="7">
        <f>IF(J4="","",WORKDAY(J4,H4-1))</f>
        <v/>
      </c>
      <c r="L4" s="5" t="inlineStr">
        <is>
          <t>Not Started</t>
        </is>
      </c>
      <c r="M4" s="5" t="inlineStr"/>
      <c r="N4" s="12">
        <f>IF(I4="","",WORKDAY(IFERROR(XLOOKUP(I4,$A$2:$A$500,$K$2:$K$500),'01_前提・方針'!$C$3),1))</f>
        <v/>
      </c>
    </row>
    <row r="5">
      <c r="A5" s="11" t="inlineStr">
        <is>
          <t>T010</t>
        </is>
      </c>
      <c r="B5" s="3" t="inlineStr">
        <is>
          <t>1.超上流</t>
        </is>
      </c>
      <c r="C5" s="3" t="inlineStr">
        <is>
          <t>商品</t>
        </is>
      </c>
      <c r="D5" s="3" t="inlineStr">
        <is>
          <t>プラン定義FIX</t>
        </is>
      </c>
      <c r="E5" s="3" t="inlineStr">
        <is>
          <t>伴走/ライトニング/研修のスコープ・成果物</t>
        </is>
      </c>
      <c r="F5" s="3" t="inlineStr">
        <is>
          <t>Sat</t>
        </is>
      </c>
      <c r="G5" s="3" t="inlineStr">
        <is>
          <t>PM</t>
        </is>
      </c>
      <c r="H5" s="6" t="n">
        <v>2</v>
      </c>
      <c r="I5" s="6" t="inlineStr">
        <is>
          <t>T002</t>
        </is>
      </c>
      <c r="J5" s="6" t="inlineStr"/>
      <c r="K5" s="7">
        <f>IF(J5="","",WORKDAY(J5,H5-1))</f>
        <v/>
      </c>
      <c r="L5" s="5" t="inlineStr">
        <is>
          <t>Not Started</t>
        </is>
      </c>
      <c r="M5" s="5" t="inlineStr">
        <is>
          <t>マイルストーン</t>
        </is>
      </c>
      <c r="N5" s="12">
        <f>IF(I5="","",WORKDAY(IFERROR(XLOOKUP(I5,$A$2:$A$500,$K$2:$K$500),'01_前提・方針'!$C$3),1))</f>
        <v/>
      </c>
    </row>
    <row r="6">
      <c r="A6" s="11" t="inlineStr">
        <is>
          <t>T011</t>
        </is>
      </c>
      <c r="B6" s="3" t="inlineStr">
        <is>
          <t>1.超上流</t>
        </is>
      </c>
      <c r="C6" s="3" t="inlineStr">
        <is>
          <t>商品</t>
        </is>
      </c>
      <c r="D6" s="3" t="inlineStr">
        <is>
          <t>成果物テンプレ整備</t>
        </is>
      </c>
      <c r="E6" s="3" t="inlineStr">
        <is>
          <t>キックオフ/週次/最終報告/課題テンプレ</t>
        </is>
      </c>
      <c r="F6" s="3" t="inlineStr">
        <is>
          <t>Sat</t>
        </is>
      </c>
      <c r="G6" s="3" t="inlineStr">
        <is>
          <t>PM</t>
        </is>
      </c>
      <c r="H6" s="6" t="n">
        <v>3</v>
      </c>
      <c r="I6" s="6" t="inlineStr">
        <is>
          <t>T010</t>
        </is>
      </c>
      <c r="J6" s="6" t="inlineStr"/>
      <c r="K6" s="7">
        <f>IF(J6="","",WORKDAY(J6,H6-1))</f>
        <v/>
      </c>
      <c r="L6" s="5" t="inlineStr">
        <is>
          <t>Not Started</t>
        </is>
      </c>
      <c r="M6" s="5" t="inlineStr"/>
      <c r="N6" s="12">
        <f>IF(I6="","",WORKDAY(IFERROR(XLOOKUP(I6,$A$2:$A$500,$K$2:$K$500),'01_前提・方針'!$C$3),1))</f>
        <v/>
      </c>
    </row>
    <row r="7">
      <c r="A7" s="11" t="inlineStr">
        <is>
          <t>T012</t>
        </is>
      </c>
      <c r="B7" s="3" t="inlineStr">
        <is>
          <t>1.超上流</t>
        </is>
      </c>
      <c r="C7" s="3" t="inlineStr">
        <is>
          <t>営業</t>
        </is>
      </c>
      <c r="D7" s="3" t="inlineStr">
        <is>
          <t>提案書テンプレ整備</t>
        </is>
      </c>
      <c r="E7" s="3" t="inlineStr">
        <is>
          <t>提案書（課題→方針→プラン→費用→事例）</t>
        </is>
      </c>
      <c r="F7" s="3" t="inlineStr">
        <is>
          <t>Sat</t>
        </is>
      </c>
      <c r="G7" s="3" t="inlineStr">
        <is>
          <t>PM</t>
        </is>
      </c>
      <c r="H7" s="6" t="n">
        <v>3</v>
      </c>
      <c r="I7" s="6" t="inlineStr">
        <is>
          <t>T010</t>
        </is>
      </c>
      <c r="J7" s="6" t="inlineStr"/>
      <c r="K7" s="7">
        <f>IF(J7="","",WORKDAY(J7,H7-1))</f>
        <v/>
      </c>
      <c r="L7" s="5" t="inlineStr">
        <is>
          <t>Not Started</t>
        </is>
      </c>
      <c r="M7" s="5" t="inlineStr"/>
      <c r="N7" s="12">
        <f>IF(I7="","",WORKDAY(IFERROR(XLOOKUP(I7,$A$2:$A$500,$K$2:$K$500),'01_前提・方針'!$C$3),1))</f>
        <v/>
      </c>
    </row>
    <row r="8">
      <c r="A8" s="11" t="inlineStr">
        <is>
          <t>T013</t>
        </is>
      </c>
      <c r="B8" s="3" t="inlineStr">
        <is>
          <t>1.超上流</t>
        </is>
      </c>
      <c r="C8" s="3" t="inlineStr">
        <is>
          <t>営業</t>
        </is>
      </c>
      <c r="D8" s="3" t="inlineStr">
        <is>
          <t>ヒアリングシート整備</t>
        </is>
      </c>
      <c r="E8" s="3" t="inlineStr">
        <is>
          <t>ヒアリングシート（部門/業務/データ/制約）</t>
        </is>
      </c>
      <c r="F8" s="3" t="inlineStr">
        <is>
          <t>Sat</t>
        </is>
      </c>
      <c r="G8" s="3" t="inlineStr">
        <is>
          <t>PM</t>
        </is>
      </c>
      <c r="H8" s="6" t="n">
        <v>2</v>
      </c>
      <c r="I8" s="6" t="inlineStr">
        <is>
          <t>T010</t>
        </is>
      </c>
      <c r="J8" s="6" t="inlineStr"/>
      <c r="K8" s="7">
        <f>IF(J8="","",WORKDAY(J8,H8-1))</f>
        <v/>
      </c>
      <c r="L8" s="5" t="inlineStr">
        <is>
          <t>Not Started</t>
        </is>
      </c>
      <c r="M8" s="5" t="inlineStr"/>
      <c r="N8" s="12">
        <f>IF(I8="","",WORKDAY(IFERROR(XLOOKUP(I8,$A$2:$A$500,$K$2:$K$500),'01_前提・方針'!$C$3),1))</f>
        <v/>
      </c>
    </row>
    <row r="9">
      <c r="A9" s="11" t="inlineStr">
        <is>
          <t>T020</t>
        </is>
      </c>
      <c r="B9" s="3" t="inlineStr">
        <is>
          <t>2.マーケ</t>
        </is>
      </c>
      <c r="C9" s="3" t="inlineStr">
        <is>
          <t>LP</t>
        </is>
      </c>
      <c r="D9" s="3" t="inlineStr">
        <is>
          <t>LP構成（セクション設計）</t>
        </is>
      </c>
      <c r="E9" s="3" t="inlineStr">
        <is>
          <t>FV〜CTAの骨子</t>
        </is>
      </c>
      <c r="F9" s="3" t="inlineStr">
        <is>
          <t>Sat</t>
        </is>
      </c>
      <c r="G9" s="3" t="inlineStr">
        <is>
          <t>コピー</t>
        </is>
      </c>
      <c r="H9" s="6" t="n">
        <v>3</v>
      </c>
      <c r="I9" s="6" t="inlineStr">
        <is>
          <t>T010</t>
        </is>
      </c>
      <c r="J9" s="6" t="inlineStr"/>
      <c r="K9" s="7">
        <f>IF(J9="","",WORKDAY(J9,H9-1))</f>
        <v/>
      </c>
      <c r="L9" s="5" t="inlineStr">
        <is>
          <t>Not Started</t>
        </is>
      </c>
      <c r="M9" s="5" t="inlineStr"/>
      <c r="N9" s="12">
        <f>IF(I9="","",WORKDAY(IFERROR(XLOOKUP(I9,$A$2:$A$500,$K$2:$K$500),'01_前提・方針'!$C$3),1))</f>
        <v/>
      </c>
    </row>
    <row r="10">
      <c r="A10" s="11" t="inlineStr">
        <is>
          <t>T021</t>
        </is>
      </c>
      <c r="B10" s="3" t="inlineStr">
        <is>
          <t>2.マーケ</t>
        </is>
      </c>
      <c r="C10" s="3" t="inlineStr">
        <is>
          <t>LP</t>
        </is>
      </c>
      <c r="D10" s="3" t="inlineStr">
        <is>
          <t>LPコピー初稿</t>
        </is>
      </c>
      <c r="E10" s="3" t="inlineStr">
        <is>
          <t>AIチーム開発伴走で初稿</t>
        </is>
      </c>
      <c r="F10" s="3" t="inlineStr">
        <is>
          <t>Sat</t>
        </is>
      </c>
      <c r="G10" s="3" t="inlineStr">
        <is>
          <t>コピー</t>
        </is>
      </c>
      <c r="H10" s="6" t="n">
        <v>5</v>
      </c>
      <c r="I10" s="6" t="inlineStr">
        <is>
          <t>T020</t>
        </is>
      </c>
      <c r="J10" s="6" t="inlineStr"/>
      <c r="K10" s="7">
        <f>IF(J10="","",WORKDAY(J10,H10-1))</f>
        <v/>
      </c>
      <c r="L10" s="5" t="inlineStr">
        <is>
          <t>Not Started</t>
        </is>
      </c>
      <c r="M10" s="5" t="inlineStr"/>
      <c r="N10" s="12">
        <f>IF(I10="","",WORKDAY(IFERROR(XLOOKUP(I10,$A$2:$A$500,$K$2:$K$500),'01_前提・方針'!$C$3),1))</f>
        <v/>
      </c>
    </row>
    <row r="11">
      <c r="A11" s="11" t="inlineStr">
        <is>
          <t>T022</t>
        </is>
      </c>
      <c r="B11" s="3" t="inlineStr">
        <is>
          <t>2.マーケ</t>
        </is>
      </c>
      <c r="C11" s="3" t="inlineStr">
        <is>
          <t>LP</t>
        </is>
      </c>
      <c r="D11" s="3" t="inlineStr">
        <is>
          <t>反論処理（FAQ）</t>
        </is>
      </c>
      <c r="E11" s="3" t="inlineStr">
        <is>
          <t>セキュリティ/費用/成果/補助金Q&amp;A</t>
        </is>
      </c>
      <c r="F11" s="3" t="inlineStr">
        <is>
          <t>Sat</t>
        </is>
      </c>
      <c r="G11" s="3" t="inlineStr">
        <is>
          <t>コピー</t>
        </is>
      </c>
      <c r="H11" s="6" t="n">
        <v>2</v>
      </c>
      <c r="I11" s="6" t="inlineStr">
        <is>
          <t>T021</t>
        </is>
      </c>
      <c r="J11" s="6" t="inlineStr"/>
      <c r="K11" s="7">
        <f>IF(J11="","",WORKDAY(J11,H11-1))</f>
        <v/>
      </c>
      <c r="L11" s="5" t="inlineStr">
        <is>
          <t>Not Started</t>
        </is>
      </c>
      <c r="M11" s="5" t="inlineStr"/>
      <c r="N11" s="12">
        <f>IF(I11="","",WORKDAY(IFERROR(XLOOKUP(I11,$A$2:$A$500,$K$2:$K$500),'01_前提・方針'!$C$3),1))</f>
        <v/>
      </c>
    </row>
    <row r="12">
      <c r="A12" s="11" t="inlineStr">
        <is>
          <t>T023</t>
        </is>
      </c>
      <c r="B12" s="3" t="inlineStr">
        <is>
          <t>2.マーケ</t>
        </is>
      </c>
      <c r="C12" s="3" t="inlineStr">
        <is>
          <t>証拠</t>
        </is>
      </c>
      <c r="D12" s="3" t="inlineStr">
        <is>
          <t>事例テンプレ作成</t>
        </is>
      </c>
      <c r="E12" s="3" t="inlineStr">
        <is>
          <t>数値化フォーマット（Before/After/ROI）</t>
        </is>
      </c>
      <c r="F12" s="3" t="inlineStr">
        <is>
          <t>Sat</t>
        </is>
      </c>
      <c r="G12" s="3" t="inlineStr">
        <is>
          <t>PM</t>
        </is>
      </c>
      <c r="H12" s="6" t="n">
        <v>2</v>
      </c>
      <c r="I12" s="6" t="inlineStr">
        <is>
          <t>T010</t>
        </is>
      </c>
      <c r="J12" s="6" t="inlineStr"/>
      <c r="K12" s="7">
        <f>IF(J12="","",WORKDAY(J12,H12-1))</f>
        <v/>
      </c>
      <c r="L12" s="5" t="inlineStr">
        <is>
          <t>Not Started</t>
        </is>
      </c>
      <c r="M12" s="5" t="inlineStr"/>
      <c r="N12" s="12">
        <f>IF(I12="","",WORKDAY(IFERROR(XLOOKUP(I12,$A$2:$A$500,$K$2:$K$500),'01_前提・方針'!$C$3),1))</f>
        <v/>
      </c>
    </row>
    <row r="13">
      <c r="A13" s="11" t="inlineStr">
        <is>
          <t>T024</t>
        </is>
      </c>
      <c r="B13" s="3" t="inlineStr">
        <is>
          <t>2.マーケ</t>
        </is>
      </c>
      <c r="C13" s="3" t="inlineStr">
        <is>
          <t>証拠</t>
        </is>
      </c>
      <c r="D13" s="3" t="inlineStr">
        <is>
          <t>図解テンプレ作成</t>
        </is>
      </c>
      <c r="E13" s="3" t="inlineStr">
        <is>
          <t>プロセス図/体制図/成果物イメージ</t>
        </is>
      </c>
      <c r="F13" s="3" t="inlineStr">
        <is>
          <t>Sat</t>
        </is>
      </c>
      <c r="G13" s="3" t="inlineStr">
        <is>
          <t>デザイン</t>
        </is>
      </c>
      <c r="H13" s="6" t="n">
        <v>3</v>
      </c>
      <c r="I13" s="6" t="inlineStr">
        <is>
          <t>T020</t>
        </is>
      </c>
      <c r="J13" s="6" t="inlineStr"/>
      <c r="K13" s="7">
        <f>IF(J13="","",WORKDAY(J13,H13-1))</f>
        <v/>
      </c>
      <c r="L13" s="5" t="inlineStr">
        <is>
          <t>Not Started</t>
        </is>
      </c>
      <c r="M13" s="5" t="inlineStr"/>
      <c r="N13" s="12">
        <f>IF(I13="","",WORKDAY(IFERROR(XLOOKUP(I13,$A$2:$A$500,$K$2:$K$500),'01_前提・方針'!$C$3),1))</f>
        <v/>
      </c>
    </row>
    <row r="14">
      <c r="A14" s="11" t="inlineStr">
        <is>
          <t>T025</t>
        </is>
      </c>
      <c r="B14" s="3" t="inlineStr">
        <is>
          <t>2.マーケ</t>
        </is>
      </c>
      <c r="C14" s="3" t="inlineStr">
        <is>
          <t>証拠</t>
        </is>
      </c>
      <c r="D14" s="3" t="inlineStr">
        <is>
          <t>実績の声収集</t>
        </is>
      </c>
      <c r="E14" s="3" t="inlineStr">
        <is>
          <t>推薦文/実績の声（文章）</t>
        </is>
      </c>
      <c r="F14" s="3" t="inlineStr">
        <is>
          <t>Sat</t>
        </is>
      </c>
      <c r="G14" s="3" t="inlineStr">
        <is>
          <t>PM</t>
        </is>
      </c>
      <c r="H14" s="6" t="n">
        <v>3</v>
      </c>
      <c r="I14" s="6" t="inlineStr">
        <is>
          <t>T023</t>
        </is>
      </c>
      <c r="J14" s="6" t="inlineStr"/>
      <c r="K14" s="7">
        <f>IF(J14="","",WORKDAY(J14,H14-1))</f>
        <v/>
      </c>
      <c r="L14" s="5" t="inlineStr">
        <is>
          <t>Not Started</t>
        </is>
      </c>
      <c r="M14" s="5" t="inlineStr">
        <is>
          <t>マイルストーン</t>
        </is>
      </c>
      <c r="N14" s="12">
        <f>IF(I14="","",WORKDAY(IFERROR(XLOOKUP(I14,$A$2:$A$500,$K$2:$K$500),'01_前提・方針'!$C$3),1))</f>
        <v/>
      </c>
    </row>
    <row r="15">
      <c r="A15" s="11" t="inlineStr">
        <is>
          <t>T030</t>
        </is>
      </c>
      <c r="B15" s="3" t="inlineStr">
        <is>
          <t>3.制作</t>
        </is>
      </c>
      <c r="C15" s="3" t="inlineStr">
        <is>
          <t>デザイン</t>
        </is>
      </c>
      <c r="D15" s="3" t="inlineStr">
        <is>
          <t>デザイン制作</t>
        </is>
      </c>
      <c r="E15" s="3" t="inlineStr">
        <is>
          <t>LPデザイン稿→FIX</t>
        </is>
      </c>
      <c r="F15" s="3" t="inlineStr">
        <is>
          <t>外部/内製</t>
        </is>
      </c>
      <c r="G15" s="3" t="inlineStr">
        <is>
          <t>デザイン</t>
        </is>
      </c>
      <c r="H15" s="6" t="n">
        <v>7</v>
      </c>
      <c r="I15" s="6" t="inlineStr">
        <is>
          <t>T021</t>
        </is>
      </c>
      <c r="J15" s="6" t="inlineStr"/>
      <c r="K15" s="7">
        <f>IF(J15="","",WORKDAY(J15,H15-1))</f>
        <v/>
      </c>
      <c r="L15" s="5" t="inlineStr">
        <is>
          <t>Not Started</t>
        </is>
      </c>
      <c r="M15" s="5" t="inlineStr">
        <is>
          <t>マイルストーン</t>
        </is>
      </c>
      <c r="N15" s="12">
        <f>IF(I15="","",WORKDAY(IFERROR(XLOOKUP(I15,$A$2:$A$500,$K$2:$K$500),'01_前提・方針'!$C$3),1))</f>
        <v/>
      </c>
    </row>
    <row r="16">
      <c r="A16" s="11" t="inlineStr">
        <is>
          <t>T040</t>
        </is>
      </c>
      <c r="B16" s="3" t="inlineStr">
        <is>
          <t>3.制作</t>
        </is>
      </c>
      <c r="C16" s="3" t="inlineStr">
        <is>
          <t>実装</t>
        </is>
      </c>
      <c r="D16" s="3" t="inlineStr">
        <is>
          <t>LP実装</t>
        </is>
      </c>
      <c r="E16" s="3" t="inlineStr">
        <is>
          <t>フォーム/日程調整/計測含む</t>
        </is>
      </c>
      <c r="F16" s="3" t="inlineStr">
        <is>
          <t>外部/内製</t>
        </is>
      </c>
      <c r="G16" s="3" t="inlineStr">
        <is>
          <t>開発</t>
        </is>
      </c>
      <c r="H16" s="6" t="n">
        <v>7</v>
      </c>
      <c r="I16" s="6" t="inlineStr">
        <is>
          <t>T030</t>
        </is>
      </c>
      <c r="J16" s="6" t="inlineStr"/>
      <c r="K16" s="7">
        <f>IF(J16="","",WORKDAY(J16,H16-1))</f>
        <v/>
      </c>
      <c r="L16" s="5" t="inlineStr">
        <is>
          <t>Not Started</t>
        </is>
      </c>
      <c r="M16" s="5" t="inlineStr"/>
      <c r="N16" s="12">
        <f>IF(I16="","",WORKDAY(IFERROR(XLOOKUP(I16,$A$2:$A$500,$K$2:$K$500),'01_前提・方針'!$C$3),1))</f>
        <v/>
      </c>
    </row>
    <row r="17">
      <c r="A17" s="11" t="inlineStr">
        <is>
          <t>T041</t>
        </is>
      </c>
      <c r="B17" s="3" t="inlineStr">
        <is>
          <t>3.制作</t>
        </is>
      </c>
      <c r="C17" s="3" t="inlineStr">
        <is>
          <t>公開</t>
        </is>
      </c>
      <c r="D17" s="3" t="inlineStr">
        <is>
          <t>公開</t>
        </is>
      </c>
      <c r="E17" s="3" t="inlineStr">
        <is>
          <t>LP公開＋計測確認</t>
        </is>
      </c>
      <c r="F17" s="3" t="inlineStr">
        <is>
          <t>Sat</t>
        </is>
      </c>
      <c r="G17" s="3" t="inlineStr">
        <is>
          <t>PM</t>
        </is>
      </c>
      <c r="H17" s="6" t="n">
        <v>1</v>
      </c>
      <c r="I17" s="6" t="inlineStr">
        <is>
          <t>T040</t>
        </is>
      </c>
      <c r="J17" s="6" t="inlineStr"/>
      <c r="K17" s="7">
        <f>IF(J17="","",WORKDAY(J17,H17-1))</f>
        <v/>
      </c>
      <c r="L17" s="5" t="inlineStr">
        <is>
          <t>Not Started</t>
        </is>
      </c>
      <c r="M17" s="5" t="inlineStr">
        <is>
          <t>マイルストーン</t>
        </is>
      </c>
      <c r="N17" s="12">
        <f>IF(I17="","",WORKDAY(IFERROR(XLOOKUP(I17,$A$2:$A$500,$K$2:$K$500),'01_前提・方針'!$C$3),1))</f>
        <v/>
      </c>
    </row>
    <row r="18">
      <c r="A18" s="11" t="inlineStr">
        <is>
          <t>T050</t>
        </is>
      </c>
      <c r="B18" s="3" t="inlineStr">
        <is>
          <t>4.営業</t>
        </is>
      </c>
      <c r="C18" s="3" t="inlineStr">
        <is>
          <t>パイプライン</t>
        </is>
      </c>
      <c r="D18" s="3" t="inlineStr">
        <is>
          <t>ターゲットリスト作成</t>
        </is>
      </c>
      <c r="E18" s="3" t="inlineStr">
        <is>
          <t>企業リスト＋打診文</t>
        </is>
      </c>
      <c r="F18" s="3" t="inlineStr">
        <is>
          <t>Sat</t>
        </is>
      </c>
      <c r="G18" s="3" t="inlineStr">
        <is>
          <t>BD</t>
        </is>
      </c>
      <c r="H18" s="6" t="n">
        <v>3</v>
      </c>
      <c r="I18" s="6" t="inlineStr">
        <is>
          <t>T010</t>
        </is>
      </c>
      <c r="J18" s="6" t="inlineStr"/>
      <c r="K18" s="7">
        <f>IF(J18="","",WORKDAY(J18,H18-1))</f>
        <v/>
      </c>
      <c r="L18" s="5" t="inlineStr">
        <is>
          <t>Not Started</t>
        </is>
      </c>
      <c r="M18" s="5" t="inlineStr"/>
      <c r="N18" s="12">
        <f>IF(I18="","",WORKDAY(IFERROR(XLOOKUP(I18,$A$2:$A$500,$K$2:$K$500),'01_前提・方針'!$C$3),1))</f>
        <v/>
      </c>
    </row>
    <row r="19">
      <c r="A19" s="11" t="inlineStr">
        <is>
          <t>T051</t>
        </is>
      </c>
      <c r="B19" s="3" t="inlineStr">
        <is>
          <t>4.営業</t>
        </is>
      </c>
      <c r="C19" s="3" t="inlineStr">
        <is>
          <t>商談</t>
        </is>
      </c>
      <c r="D19" s="3" t="inlineStr">
        <is>
          <t>初回相談の型</t>
        </is>
      </c>
      <c r="E19" s="3" t="inlineStr">
        <is>
          <t>初回MTGアジェンダ/質問/クロージング</t>
        </is>
      </c>
      <c r="F19" s="3" t="inlineStr">
        <is>
          <t>Sat</t>
        </is>
      </c>
      <c r="G19" s="3" t="inlineStr">
        <is>
          <t>BD</t>
        </is>
      </c>
      <c r="H19" s="6" t="n">
        <v>2</v>
      </c>
      <c r="I19" s="6" t="inlineStr">
        <is>
          <t>T012</t>
        </is>
      </c>
      <c r="J19" s="6" t="inlineStr"/>
      <c r="K19" s="7">
        <f>IF(J19="","",WORKDAY(J19,H19-1))</f>
        <v/>
      </c>
      <c r="L19" s="5" t="inlineStr">
        <is>
          <t>Not Started</t>
        </is>
      </c>
      <c r="M19" s="5" t="inlineStr"/>
      <c r="N19" s="12">
        <f>IF(I19="","",WORKDAY(IFERROR(XLOOKUP(I19,$A$2:$A$500,$K$2:$K$500),'01_前提・方針'!$C$3),1))</f>
        <v/>
      </c>
    </row>
    <row r="20">
      <c r="A20" s="11" t="inlineStr">
        <is>
          <t>T060</t>
        </is>
      </c>
      <c r="B20" s="3" t="inlineStr">
        <is>
          <t>5.検証</t>
        </is>
      </c>
      <c r="C20" s="3" t="inlineStr">
        <is>
          <t>PoC</t>
        </is>
      </c>
      <c r="D20" s="3" t="inlineStr">
        <is>
          <t>ライトニング1社実施</t>
        </is>
      </c>
      <c r="E20" s="3" t="inlineStr">
        <is>
          <t>短期集中で成果を作る</t>
        </is>
      </c>
      <c r="F20" s="3" t="inlineStr">
        <is>
          <t>Sat/Uni/Tim</t>
        </is>
      </c>
      <c r="G20" s="3" t="inlineStr">
        <is>
          <t>Delivery</t>
        </is>
      </c>
      <c r="H20" s="6" t="n">
        <v>20</v>
      </c>
      <c r="I20" s="6" t="inlineStr">
        <is>
          <t>T041</t>
        </is>
      </c>
      <c r="J20" s="6" t="inlineStr"/>
      <c r="K20" s="7">
        <f>IF(J20="","",WORKDAY(J20,H20-1))</f>
        <v/>
      </c>
      <c r="L20" s="5" t="inlineStr">
        <is>
          <t>Not Started</t>
        </is>
      </c>
      <c r="M20" s="5" t="inlineStr">
        <is>
          <t>マイルストーン</t>
        </is>
      </c>
      <c r="N20" s="12">
        <f>IF(I20="","",WORKDAY(IFERROR(XLOOKUP(I20,$A$2:$A$500,$K$2:$K$500),'01_前提・方針'!$C$3),1))</f>
        <v/>
      </c>
    </row>
    <row r="21">
      <c r="A21" s="11" t="inlineStr">
        <is>
          <t>T061</t>
        </is>
      </c>
      <c r="B21" s="3" t="inlineStr">
        <is>
          <t>5.検証</t>
        </is>
      </c>
      <c r="C21" s="3" t="inlineStr">
        <is>
          <t>効果測定</t>
        </is>
      </c>
      <c r="D21" s="3" t="inlineStr">
        <is>
          <t>ROI測定</t>
        </is>
      </c>
      <c r="E21" s="3" t="inlineStr">
        <is>
          <t>効果レポート作成</t>
        </is>
      </c>
      <c r="F21" s="3" t="inlineStr">
        <is>
          <t>Sat</t>
        </is>
      </c>
      <c r="G21" s="3" t="inlineStr">
        <is>
          <t>PM</t>
        </is>
      </c>
      <c r="H21" s="6" t="n">
        <v>3</v>
      </c>
      <c r="I21" s="6" t="inlineStr">
        <is>
          <t>T060</t>
        </is>
      </c>
      <c r="J21" s="6" t="inlineStr"/>
      <c r="K21" s="7">
        <f>IF(J21="","",WORKDAY(J21,H21-1))</f>
        <v/>
      </c>
      <c r="L21" s="5" t="inlineStr">
        <is>
          <t>Not Started</t>
        </is>
      </c>
      <c r="M21" s="5" t="inlineStr"/>
      <c r="N21" s="12">
        <f>IF(I21="","",WORKDAY(IFERROR(XLOOKUP(I21,$A$2:$A$500,$K$2:$K$500),'01_前提・方針'!$C$3),1))</f>
        <v/>
      </c>
    </row>
    <row r="22">
      <c r="A22" s="11" t="inlineStr">
        <is>
          <t>T062</t>
        </is>
      </c>
      <c r="B22" s="3" t="inlineStr">
        <is>
          <t>5.検証</t>
        </is>
      </c>
      <c r="C22" s="3" t="inlineStr">
        <is>
          <t>標準化</t>
        </is>
      </c>
      <c r="D22" s="3" t="inlineStr">
        <is>
          <t>成功パターン標準化</t>
        </is>
      </c>
      <c r="E22" s="3" t="inlineStr">
        <is>
          <t>SOP/テンプレ/オンボード整備</t>
        </is>
      </c>
      <c r="F22" s="3" t="inlineStr">
        <is>
          <t>Sat</t>
        </is>
      </c>
      <c r="G22" s="3" t="inlineStr">
        <is>
          <t>PM</t>
        </is>
      </c>
      <c r="H22" s="6" t="n">
        <v>5</v>
      </c>
      <c r="I22" s="6" t="inlineStr">
        <is>
          <t>T061</t>
        </is>
      </c>
      <c r="J22" s="6" t="inlineStr"/>
      <c r="K22" s="7">
        <f>IF(J22="","",WORKDAY(J22,H22-1))</f>
        <v/>
      </c>
      <c r="L22" s="5" t="inlineStr">
        <is>
          <t>Not Started</t>
        </is>
      </c>
      <c r="M22" s="5" t="inlineStr">
        <is>
          <t>マイルストーン</t>
        </is>
      </c>
      <c r="N22" s="12">
        <f>IF(I22="","",WORKDAY(IFERROR(XLOOKUP(I22,$A$2:$A$500,$K$2:$K$500),'01_前提・方針'!$C$3),1))</f>
        <v/>
      </c>
    </row>
    <row r="23">
      <c r="A23" s="11" t="inlineStr">
        <is>
          <t>T070</t>
        </is>
      </c>
      <c r="B23" s="3" t="inlineStr">
        <is>
          <t>6.スケール</t>
        </is>
      </c>
      <c r="C23" s="3" t="inlineStr">
        <is>
          <t>営業資料</t>
        </is>
      </c>
      <c r="D23" s="3" t="inlineStr">
        <is>
          <t>ケーススタディ作成</t>
        </is>
      </c>
      <c r="E23" s="3" t="inlineStr">
        <is>
          <t>事例1本→3本へ拡張</t>
        </is>
      </c>
      <c r="F23" s="3" t="inlineStr">
        <is>
          <t>Sat</t>
        </is>
      </c>
      <c r="G23" s="3" t="inlineStr">
        <is>
          <t>コピー</t>
        </is>
      </c>
      <c r="H23" s="6" t="n">
        <v>5</v>
      </c>
      <c r="I23" s="6" t="inlineStr">
        <is>
          <t>T061</t>
        </is>
      </c>
      <c r="J23" s="6" t="inlineStr"/>
      <c r="K23" s="7">
        <f>IF(J23="","",WORKDAY(J23,H23-1))</f>
        <v/>
      </c>
      <c r="L23" s="5" t="inlineStr">
        <is>
          <t>Not Started</t>
        </is>
      </c>
      <c r="M23" s="5" t="inlineStr"/>
      <c r="N23" s="12">
        <f>IF(I23="","",WORKDAY(IFERROR(XLOOKUP(I23,$A$2:$A$500,$K$2:$K$500),'01_前提・方針'!$C$3),1))</f>
        <v/>
      </c>
    </row>
    <row r="24">
      <c r="A24" s="11" t="inlineStr">
        <is>
          <t>T071</t>
        </is>
      </c>
      <c r="B24" s="3" t="inlineStr">
        <is>
          <t>6.スケール</t>
        </is>
      </c>
      <c r="C24" s="3" t="inlineStr">
        <is>
          <t>パートナー</t>
        </is>
      </c>
      <c r="D24" s="3" t="inlineStr">
        <is>
          <t>紹介チャネル設計</t>
        </is>
      </c>
      <c r="E24" s="3" t="inlineStr">
        <is>
          <t>商工会議所/コミュニティ/代理店</t>
        </is>
      </c>
      <c r="F24" s="3" t="inlineStr">
        <is>
          <t>Sat</t>
        </is>
      </c>
      <c r="G24" s="3" t="inlineStr">
        <is>
          <t>BD</t>
        </is>
      </c>
      <c r="H24" s="6" t="n">
        <v>5</v>
      </c>
      <c r="I24" s="6" t="inlineStr">
        <is>
          <t>T062</t>
        </is>
      </c>
      <c r="J24" s="6" t="inlineStr"/>
      <c r="K24" s="7">
        <f>IF(J24="","",WORKDAY(J24,H24-1))</f>
        <v/>
      </c>
      <c r="L24" s="5" t="inlineStr">
        <is>
          <t>Not Started</t>
        </is>
      </c>
      <c r="M24" s="5" t="inlineStr"/>
      <c r="N24" s="12">
        <f>IF(I24="","",WORKDAY(IFERROR(XLOOKUP(I24,$A$2:$A$500,$K$2:$K$500),'01_前提・方針'!$C$3),1))</f>
        <v/>
      </c>
    </row>
    <row r="26">
      <c r="A26" s="13" t="inlineStr">
        <is>
          <t>メモ：自動開始日（候補）は XLOOKUP が使える環境で有効。開始日は基本入力し、候補をコピペして使う想定。</t>
        </is>
      </c>
    </row>
  </sheetData>
  <mergeCells count="1">
    <mergeCell ref="A26:N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2" customWidth="1" min="4" max="4"/>
    <col width="12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</cols>
  <sheetData>
    <row r="1">
      <c r="A1" s="3" t="inlineStr">
        <is>
          <t>表示開始日</t>
        </is>
      </c>
      <c r="B1" s="5">
        <f>'01_前提・方針'!$C$3</f>
        <v/>
      </c>
    </row>
    <row r="2">
      <c r="A2" s="3" t="inlineStr">
        <is>
          <t>表示日数</t>
        </is>
      </c>
      <c r="B2" s="5" t="n">
        <v>140</v>
      </c>
    </row>
    <row r="4">
      <c r="A4" s="2" t="inlineStr">
        <is>
          <t>ID</t>
        </is>
      </c>
      <c r="B4" s="2" t="inlineStr">
        <is>
          <t>タスク</t>
        </is>
      </c>
      <c r="C4" s="2" t="inlineStr">
        <is>
          <t>担当</t>
        </is>
      </c>
      <c r="D4" s="2" t="inlineStr">
        <is>
          <t>開始</t>
        </is>
      </c>
      <c r="E4" s="2" t="inlineStr">
        <is>
          <t>終了</t>
        </is>
      </c>
      <c r="F4" s="14">
        <f>$B$1+0</f>
        <v/>
      </c>
      <c r="G4" s="14">
        <f>$B$1+1</f>
        <v/>
      </c>
      <c r="H4" s="14">
        <f>$B$1+2</f>
        <v/>
      </c>
      <c r="I4" s="14">
        <f>$B$1+3</f>
        <v/>
      </c>
      <c r="J4" s="14">
        <f>$B$1+4</f>
        <v/>
      </c>
      <c r="K4" s="14">
        <f>$B$1+5</f>
        <v/>
      </c>
      <c r="L4" s="14">
        <f>$B$1+6</f>
        <v/>
      </c>
      <c r="M4" s="14">
        <f>$B$1+7</f>
        <v/>
      </c>
      <c r="N4" s="14">
        <f>$B$1+8</f>
        <v/>
      </c>
      <c r="O4" s="14">
        <f>$B$1+9</f>
        <v/>
      </c>
      <c r="P4" s="14">
        <f>$B$1+10</f>
        <v/>
      </c>
      <c r="Q4" s="14">
        <f>$B$1+11</f>
        <v/>
      </c>
      <c r="R4" s="14">
        <f>$B$1+12</f>
        <v/>
      </c>
      <c r="S4" s="14">
        <f>$B$1+13</f>
        <v/>
      </c>
      <c r="T4" s="14">
        <f>$B$1+14</f>
        <v/>
      </c>
      <c r="U4" s="14">
        <f>$B$1+15</f>
        <v/>
      </c>
      <c r="V4" s="14">
        <f>$B$1+16</f>
        <v/>
      </c>
      <c r="W4" s="14">
        <f>$B$1+17</f>
        <v/>
      </c>
      <c r="X4" s="14">
        <f>$B$1+18</f>
        <v/>
      </c>
      <c r="Y4" s="14">
        <f>$B$1+19</f>
        <v/>
      </c>
      <c r="Z4" s="14">
        <f>$B$1+20</f>
        <v/>
      </c>
      <c r="AA4" s="14">
        <f>$B$1+21</f>
        <v/>
      </c>
      <c r="AB4" s="14">
        <f>$B$1+22</f>
        <v/>
      </c>
      <c r="AC4" s="14">
        <f>$B$1+23</f>
        <v/>
      </c>
      <c r="AD4" s="14">
        <f>$B$1+24</f>
        <v/>
      </c>
      <c r="AE4" s="14">
        <f>$B$1+25</f>
        <v/>
      </c>
      <c r="AF4" s="14">
        <f>$B$1+26</f>
        <v/>
      </c>
      <c r="AG4" s="14">
        <f>$B$1+27</f>
        <v/>
      </c>
      <c r="AH4" s="14">
        <f>$B$1+28</f>
        <v/>
      </c>
      <c r="AI4" s="14">
        <f>$B$1+29</f>
        <v/>
      </c>
      <c r="AJ4" s="14">
        <f>$B$1+30</f>
        <v/>
      </c>
      <c r="AK4" s="14">
        <f>$B$1+31</f>
        <v/>
      </c>
      <c r="AL4" s="14">
        <f>$B$1+32</f>
        <v/>
      </c>
      <c r="AM4" s="14">
        <f>$B$1+33</f>
        <v/>
      </c>
      <c r="AN4" s="14">
        <f>$B$1+34</f>
        <v/>
      </c>
      <c r="AO4" s="14">
        <f>$B$1+35</f>
        <v/>
      </c>
      <c r="AP4" s="14">
        <f>$B$1+36</f>
        <v/>
      </c>
      <c r="AQ4" s="14">
        <f>$B$1+37</f>
        <v/>
      </c>
      <c r="AR4" s="14">
        <f>$B$1+38</f>
        <v/>
      </c>
      <c r="AS4" s="14">
        <f>$B$1+39</f>
        <v/>
      </c>
      <c r="AT4" s="14">
        <f>$B$1+40</f>
        <v/>
      </c>
      <c r="AU4" s="14">
        <f>$B$1+41</f>
        <v/>
      </c>
      <c r="AV4" s="14">
        <f>$B$1+42</f>
        <v/>
      </c>
      <c r="AW4" s="14">
        <f>$B$1+43</f>
        <v/>
      </c>
      <c r="AX4" s="14">
        <f>$B$1+44</f>
        <v/>
      </c>
      <c r="AY4" s="14">
        <f>$B$1+45</f>
        <v/>
      </c>
      <c r="AZ4" s="14">
        <f>$B$1+46</f>
        <v/>
      </c>
      <c r="BA4" s="14">
        <f>$B$1+47</f>
        <v/>
      </c>
      <c r="BB4" s="14">
        <f>$B$1+48</f>
        <v/>
      </c>
      <c r="BC4" s="14">
        <f>$B$1+49</f>
        <v/>
      </c>
      <c r="BD4" s="14">
        <f>$B$1+50</f>
        <v/>
      </c>
      <c r="BE4" s="14">
        <f>$B$1+51</f>
        <v/>
      </c>
      <c r="BF4" s="14">
        <f>$B$1+52</f>
        <v/>
      </c>
      <c r="BG4" s="14">
        <f>$B$1+53</f>
        <v/>
      </c>
      <c r="BH4" s="14">
        <f>$B$1+54</f>
        <v/>
      </c>
      <c r="BI4" s="14">
        <f>$B$1+55</f>
        <v/>
      </c>
      <c r="BJ4" s="14">
        <f>$B$1+56</f>
        <v/>
      </c>
      <c r="BK4" s="14">
        <f>$B$1+57</f>
        <v/>
      </c>
      <c r="BL4" s="14">
        <f>$B$1+58</f>
        <v/>
      </c>
      <c r="BM4" s="14">
        <f>$B$1+59</f>
        <v/>
      </c>
    </row>
    <row r="5">
      <c r="A5" s="7">
        <f>'04_WBS'!A2</f>
        <v/>
      </c>
      <c r="B5" s="3">
        <f>'04_WBS'!D2</f>
        <v/>
      </c>
      <c r="C5" s="3">
        <f>'04_WBS'!F2</f>
        <v/>
      </c>
      <c r="D5" s="7">
        <f>'04_WBS'!J2</f>
        <v/>
      </c>
      <c r="E5" s="7">
        <f>'04_WBS'!K2</f>
        <v/>
      </c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15" t="n"/>
      <c r="AV5" s="15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5" t="n"/>
    </row>
    <row r="6">
      <c r="A6" s="7">
        <f>'04_WBS'!A3</f>
        <v/>
      </c>
      <c r="B6" s="3">
        <f>'04_WBS'!D3</f>
        <v/>
      </c>
      <c r="C6" s="3">
        <f>'04_WBS'!F3</f>
        <v/>
      </c>
      <c r="D6" s="7">
        <f>'04_WBS'!J3</f>
        <v/>
      </c>
      <c r="E6" s="7">
        <f>'04_WBS'!K3</f>
        <v/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</row>
    <row r="7">
      <c r="A7" s="7">
        <f>'04_WBS'!A4</f>
        <v/>
      </c>
      <c r="B7" s="3">
        <f>'04_WBS'!D4</f>
        <v/>
      </c>
      <c r="C7" s="3">
        <f>'04_WBS'!F4</f>
        <v/>
      </c>
      <c r="D7" s="7">
        <f>'04_WBS'!J4</f>
        <v/>
      </c>
      <c r="E7" s="7">
        <f>'04_WBS'!K4</f>
        <v/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</row>
    <row r="8">
      <c r="A8" s="7">
        <f>'04_WBS'!A5</f>
        <v/>
      </c>
      <c r="B8" s="3">
        <f>'04_WBS'!D5</f>
        <v/>
      </c>
      <c r="C8" s="3">
        <f>'04_WBS'!F5</f>
        <v/>
      </c>
      <c r="D8" s="7">
        <f>'04_WBS'!J5</f>
        <v/>
      </c>
      <c r="E8" s="7">
        <f>'04_WBS'!K5</f>
        <v/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</row>
    <row r="9">
      <c r="A9" s="7">
        <f>'04_WBS'!A6</f>
        <v/>
      </c>
      <c r="B9" s="3">
        <f>'04_WBS'!D6</f>
        <v/>
      </c>
      <c r="C9" s="3">
        <f>'04_WBS'!F6</f>
        <v/>
      </c>
      <c r="D9" s="7">
        <f>'04_WBS'!J6</f>
        <v/>
      </c>
      <c r="E9" s="7">
        <f>'04_WBS'!K6</f>
        <v/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</row>
    <row r="10">
      <c r="A10" s="7">
        <f>'04_WBS'!A7</f>
        <v/>
      </c>
      <c r="B10" s="3">
        <f>'04_WBS'!D7</f>
        <v/>
      </c>
      <c r="C10" s="3">
        <f>'04_WBS'!F7</f>
        <v/>
      </c>
      <c r="D10" s="7">
        <f>'04_WBS'!J7</f>
        <v/>
      </c>
      <c r="E10" s="7">
        <f>'04_WBS'!K7</f>
        <v/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</row>
    <row r="11">
      <c r="A11" s="7">
        <f>'04_WBS'!A8</f>
        <v/>
      </c>
      <c r="B11" s="3">
        <f>'04_WBS'!D8</f>
        <v/>
      </c>
      <c r="C11" s="3">
        <f>'04_WBS'!F8</f>
        <v/>
      </c>
      <c r="D11" s="7">
        <f>'04_WBS'!J8</f>
        <v/>
      </c>
      <c r="E11" s="7">
        <f>'04_WBS'!K8</f>
        <v/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</row>
    <row r="12">
      <c r="A12" s="7">
        <f>'04_WBS'!A9</f>
        <v/>
      </c>
      <c r="B12" s="3">
        <f>'04_WBS'!D9</f>
        <v/>
      </c>
      <c r="C12" s="3">
        <f>'04_WBS'!F9</f>
        <v/>
      </c>
      <c r="D12" s="7">
        <f>'04_WBS'!J9</f>
        <v/>
      </c>
      <c r="E12" s="7">
        <f>'04_WBS'!K9</f>
        <v/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</row>
    <row r="13">
      <c r="A13" s="7">
        <f>'04_WBS'!A10</f>
        <v/>
      </c>
      <c r="B13" s="3">
        <f>'04_WBS'!D10</f>
        <v/>
      </c>
      <c r="C13" s="3">
        <f>'04_WBS'!F10</f>
        <v/>
      </c>
      <c r="D13" s="7">
        <f>'04_WBS'!J10</f>
        <v/>
      </c>
      <c r="E13" s="7">
        <f>'04_WBS'!K10</f>
        <v/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</row>
    <row r="14">
      <c r="A14" s="7">
        <f>'04_WBS'!A11</f>
        <v/>
      </c>
      <c r="B14" s="3">
        <f>'04_WBS'!D11</f>
        <v/>
      </c>
      <c r="C14" s="3">
        <f>'04_WBS'!F11</f>
        <v/>
      </c>
      <c r="D14" s="7">
        <f>'04_WBS'!J11</f>
        <v/>
      </c>
      <c r="E14" s="7">
        <f>'04_WBS'!K11</f>
        <v/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</row>
    <row r="15">
      <c r="A15" s="7">
        <f>'04_WBS'!A12</f>
        <v/>
      </c>
      <c r="B15" s="3">
        <f>'04_WBS'!D12</f>
        <v/>
      </c>
      <c r="C15" s="3">
        <f>'04_WBS'!F12</f>
        <v/>
      </c>
      <c r="D15" s="7">
        <f>'04_WBS'!J12</f>
        <v/>
      </c>
      <c r="E15" s="7">
        <f>'04_WBS'!K12</f>
        <v/>
      </c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</row>
    <row r="16">
      <c r="A16" s="7">
        <f>'04_WBS'!A13</f>
        <v/>
      </c>
      <c r="B16" s="3">
        <f>'04_WBS'!D13</f>
        <v/>
      </c>
      <c r="C16" s="3">
        <f>'04_WBS'!F13</f>
        <v/>
      </c>
      <c r="D16" s="7">
        <f>'04_WBS'!J13</f>
        <v/>
      </c>
      <c r="E16" s="7">
        <f>'04_WBS'!K13</f>
        <v/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</row>
    <row r="17">
      <c r="A17" s="7">
        <f>'04_WBS'!A14</f>
        <v/>
      </c>
      <c r="B17" s="3">
        <f>'04_WBS'!D14</f>
        <v/>
      </c>
      <c r="C17" s="3">
        <f>'04_WBS'!F14</f>
        <v/>
      </c>
      <c r="D17" s="7">
        <f>'04_WBS'!J14</f>
        <v/>
      </c>
      <c r="E17" s="7">
        <f>'04_WBS'!K14</f>
        <v/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</row>
    <row r="18">
      <c r="A18" s="7">
        <f>'04_WBS'!A15</f>
        <v/>
      </c>
      <c r="B18" s="3">
        <f>'04_WBS'!D15</f>
        <v/>
      </c>
      <c r="C18" s="3">
        <f>'04_WBS'!F15</f>
        <v/>
      </c>
      <c r="D18" s="7">
        <f>'04_WBS'!J15</f>
        <v/>
      </c>
      <c r="E18" s="7">
        <f>'04_WBS'!K15</f>
        <v/>
      </c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</row>
    <row r="19">
      <c r="A19" s="7">
        <f>'04_WBS'!A16</f>
        <v/>
      </c>
      <c r="B19" s="3">
        <f>'04_WBS'!D16</f>
        <v/>
      </c>
      <c r="C19" s="3">
        <f>'04_WBS'!F16</f>
        <v/>
      </c>
      <c r="D19" s="7">
        <f>'04_WBS'!J16</f>
        <v/>
      </c>
      <c r="E19" s="7">
        <f>'04_WBS'!K16</f>
        <v/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</row>
    <row r="20">
      <c r="A20" s="7">
        <f>'04_WBS'!A17</f>
        <v/>
      </c>
      <c r="B20" s="3">
        <f>'04_WBS'!D17</f>
        <v/>
      </c>
      <c r="C20" s="3">
        <f>'04_WBS'!F17</f>
        <v/>
      </c>
      <c r="D20" s="7">
        <f>'04_WBS'!J17</f>
        <v/>
      </c>
      <c r="E20" s="7">
        <f>'04_WBS'!K17</f>
        <v/>
      </c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</row>
    <row r="21">
      <c r="A21" s="7">
        <f>'04_WBS'!A18</f>
        <v/>
      </c>
      <c r="B21" s="3">
        <f>'04_WBS'!D18</f>
        <v/>
      </c>
      <c r="C21" s="3">
        <f>'04_WBS'!F18</f>
        <v/>
      </c>
      <c r="D21" s="7">
        <f>'04_WBS'!J18</f>
        <v/>
      </c>
      <c r="E21" s="7">
        <f>'04_WBS'!K18</f>
        <v/>
      </c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</row>
    <row r="22">
      <c r="A22" s="7">
        <f>'04_WBS'!A19</f>
        <v/>
      </c>
      <c r="B22" s="3">
        <f>'04_WBS'!D19</f>
        <v/>
      </c>
      <c r="C22" s="3">
        <f>'04_WBS'!F19</f>
        <v/>
      </c>
      <c r="D22" s="7">
        <f>'04_WBS'!J19</f>
        <v/>
      </c>
      <c r="E22" s="7">
        <f>'04_WBS'!K19</f>
        <v/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</row>
    <row r="23">
      <c r="A23" s="7">
        <f>'04_WBS'!A20</f>
        <v/>
      </c>
      <c r="B23" s="3">
        <f>'04_WBS'!D20</f>
        <v/>
      </c>
      <c r="C23" s="3">
        <f>'04_WBS'!F20</f>
        <v/>
      </c>
      <c r="D23" s="7">
        <f>'04_WBS'!J20</f>
        <v/>
      </c>
      <c r="E23" s="7">
        <f>'04_WBS'!K20</f>
        <v/>
      </c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</row>
    <row r="24">
      <c r="A24" s="7">
        <f>'04_WBS'!A21</f>
        <v/>
      </c>
      <c r="B24" s="3">
        <f>'04_WBS'!D21</f>
        <v/>
      </c>
      <c r="C24" s="3">
        <f>'04_WBS'!F21</f>
        <v/>
      </c>
      <c r="D24" s="7">
        <f>'04_WBS'!J21</f>
        <v/>
      </c>
      <c r="E24" s="7">
        <f>'04_WBS'!K21</f>
        <v/>
      </c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</row>
    <row r="25">
      <c r="A25" s="7">
        <f>'04_WBS'!A22</f>
        <v/>
      </c>
      <c r="B25" s="3">
        <f>'04_WBS'!D22</f>
        <v/>
      </c>
      <c r="C25" s="3">
        <f>'04_WBS'!F22</f>
        <v/>
      </c>
      <c r="D25" s="7">
        <f>'04_WBS'!J22</f>
        <v/>
      </c>
      <c r="E25" s="7">
        <f>'04_WBS'!K22</f>
        <v/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</row>
    <row r="26">
      <c r="A26" s="7">
        <f>'04_WBS'!A23</f>
        <v/>
      </c>
      <c r="B26" s="3">
        <f>'04_WBS'!D23</f>
        <v/>
      </c>
      <c r="C26" s="3">
        <f>'04_WBS'!F23</f>
        <v/>
      </c>
      <c r="D26" s="7">
        <f>'04_WBS'!J23</f>
        <v/>
      </c>
      <c r="E26" s="7">
        <f>'04_WBS'!K23</f>
        <v/>
      </c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</row>
    <row r="27">
      <c r="A27" s="7">
        <f>'04_WBS'!A24</f>
        <v/>
      </c>
      <c r="B27" s="3">
        <f>'04_WBS'!D24</f>
        <v/>
      </c>
      <c r="C27" s="3">
        <f>'04_WBS'!F24</f>
        <v/>
      </c>
      <c r="D27" s="7">
        <f>'04_WBS'!J24</f>
        <v/>
      </c>
      <c r="E27" s="7">
        <f>'04_WBS'!K24</f>
        <v/>
      </c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</row>
  </sheetData>
  <conditionalFormatting sqref="F5">
    <cfRule type="expression" priority="1" dxfId="0">
      <formula>=AND(F4&gt;=D5,F4&lt;=E5,D5&lt;&gt;"")</formula>
    </cfRule>
  </conditionalFormatting>
  <conditionalFormatting sqref="G5">
    <cfRule type="expression" priority="2" dxfId="0">
      <formula>=AND(G4&gt;=D5,G4&lt;=E5,D5&lt;&gt;"")</formula>
    </cfRule>
  </conditionalFormatting>
  <conditionalFormatting sqref="H5">
    <cfRule type="expression" priority="3" dxfId="0">
      <formula>=AND(H4&gt;=D5,H4&lt;=E5,D5&lt;&gt;"")</formula>
    </cfRule>
  </conditionalFormatting>
  <conditionalFormatting sqref="I5">
    <cfRule type="expression" priority="4" dxfId="0">
      <formula>=AND(I4&gt;=D5,I4&lt;=E5,D5&lt;&gt;"")</formula>
    </cfRule>
  </conditionalFormatting>
  <conditionalFormatting sqref="J5">
    <cfRule type="expression" priority="5" dxfId="0">
      <formula>=AND(J4&gt;=D5,J4&lt;=E5,D5&lt;&gt;"")</formula>
    </cfRule>
  </conditionalFormatting>
  <conditionalFormatting sqref="K5">
    <cfRule type="expression" priority="6" dxfId="0">
      <formula>=AND(K4&gt;=D5,K4&lt;=E5,D5&lt;&gt;"")</formula>
    </cfRule>
  </conditionalFormatting>
  <conditionalFormatting sqref="L5">
    <cfRule type="expression" priority="7" dxfId="0">
      <formula>=AND(L4&gt;=D5,L4&lt;=E5,D5&lt;&gt;"")</formula>
    </cfRule>
  </conditionalFormatting>
  <conditionalFormatting sqref="M5">
    <cfRule type="expression" priority="8" dxfId="0">
      <formula>=AND(M4&gt;=D5,M4&lt;=E5,D5&lt;&gt;"")</formula>
    </cfRule>
  </conditionalFormatting>
  <conditionalFormatting sqref="N5">
    <cfRule type="expression" priority="9" dxfId="0">
      <formula>=AND(N4&gt;=D5,N4&lt;=E5,D5&lt;&gt;"")</formula>
    </cfRule>
  </conditionalFormatting>
  <conditionalFormatting sqref="O5">
    <cfRule type="expression" priority="10" dxfId="0">
      <formula>=AND(O4&gt;=D5,O4&lt;=E5,D5&lt;&gt;"")</formula>
    </cfRule>
  </conditionalFormatting>
  <conditionalFormatting sqref="P5">
    <cfRule type="expression" priority="11" dxfId="0">
      <formula>=AND(P4&gt;=D5,P4&lt;=E5,D5&lt;&gt;"")</formula>
    </cfRule>
  </conditionalFormatting>
  <conditionalFormatting sqref="Q5">
    <cfRule type="expression" priority="12" dxfId="0">
      <formula>=AND(Q4&gt;=D5,Q4&lt;=E5,D5&lt;&gt;"")</formula>
    </cfRule>
  </conditionalFormatting>
  <conditionalFormatting sqref="R5">
    <cfRule type="expression" priority="13" dxfId="0">
      <formula>=AND(R4&gt;=D5,R4&lt;=E5,D5&lt;&gt;"")</formula>
    </cfRule>
  </conditionalFormatting>
  <conditionalFormatting sqref="S5">
    <cfRule type="expression" priority="14" dxfId="0">
      <formula>=AND(S4&gt;=D5,S4&lt;=E5,D5&lt;&gt;"")</formula>
    </cfRule>
  </conditionalFormatting>
  <conditionalFormatting sqref="T5">
    <cfRule type="expression" priority="15" dxfId="0">
      <formula>=AND(T4&gt;=D5,T4&lt;=E5,D5&lt;&gt;"")</formula>
    </cfRule>
  </conditionalFormatting>
  <conditionalFormatting sqref="U5">
    <cfRule type="expression" priority="16" dxfId="0">
      <formula>=AND(U4&gt;=D5,U4&lt;=E5,D5&lt;&gt;"")</formula>
    </cfRule>
  </conditionalFormatting>
  <conditionalFormatting sqref="V5">
    <cfRule type="expression" priority="17" dxfId="0">
      <formula>=AND(V4&gt;=D5,V4&lt;=E5,D5&lt;&gt;"")</formula>
    </cfRule>
  </conditionalFormatting>
  <conditionalFormatting sqref="W5">
    <cfRule type="expression" priority="18" dxfId="0">
      <formula>=AND(W4&gt;=D5,W4&lt;=E5,D5&lt;&gt;"")</formula>
    </cfRule>
  </conditionalFormatting>
  <conditionalFormatting sqref="X5">
    <cfRule type="expression" priority="19" dxfId="0">
      <formula>=AND(X4&gt;=D5,X4&lt;=E5,D5&lt;&gt;"")</formula>
    </cfRule>
  </conditionalFormatting>
  <conditionalFormatting sqref="Y5">
    <cfRule type="expression" priority="20" dxfId="0">
      <formula>=AND(Y4&gt;=D5,Y4&lt;=E5,D5&lt;&gt;"")</formula>
    </cfRule>
  </conditionalFormatting>
  <conditionalFormatting sqref="Z5">
    <cfRule type="expression" priority="21" dxfId="0">
      <formula>=AND(Z4&gt;=D5,Z4&lt;=E5,D5&lt;&gt;"")</formula>
    </cfRule>
  </conditionalFormatting>
  <conditionalFormatting sqref="AA5">
    <cfRule type="expression" priority="22" dxfId="0">
      <formula>=AND(AA4&gt;=D5,AA4&lt;=E5,D5&lt;&gt;"")</formula>
    </cfRule>
  </conditionalFormatting>
  <conditionalFormatting sqref="AB5">
    <cfRule type="expression" priority="23" dxfId="0">
      <formula>=AND(AB4&gt;=D5,AB4&lt;=E5,D5&lt;&gt;"")</formula>
    </cfRule>
  </conditionalFormatting>
  <conditionalFormatting sqref="AC5">
    <cfRule type="expression" priority="24" dxfId="0">
      <formula>=AND(AC4&gt;=D5,AC4&lt;=E5,D5&lt;&gt;"")</formula>
    </cfRule>
  </conditionalFormatting>
  <conditionalFormatting sqref="AD5">
    <cfRule type="expression" priority="25" dxfId="0">
      <formula>=AND(AD4&gt;=D5,AD4&lt;=E5,D5&lt;&gt;"")</formula>
    </cfRule>
  </conditionalFormatting>
  <conditionalFormatting sqref="AE5">
    <cfRule type="expression" priority="26" dxfId="0">
      <formula>=AND(AE4&gt;=D5,AE4&lt;=E5,D5&lt;&gt;"")</formula>
    </cfRule>
  </conditionalFormatting>
  <conditionalFormatting sqref="AF5">
    <cfRule type="expression" priority="27" dxfId="0">
      <formula>=AND(AF4&gt;=D5,AF4&lt;=E5,D5&lt;&gt;"")</formula>
    </cfRule>
  </conditionalFormatting>
  <conditionalFormatting sqref="AG5">
    <cfRule type="expression" priority="28" dxfId="0">
      <formula>=AND(AG4&gt;=D5,AG4&lt;=E5,D5&lt;&gt;"")</formula>
    </cfRule>
  </conditionalFormatting>
  <conditionalFormatting sqref="AH5">
    <cfRule type="expression" priority="29" dxfId="0">
      <formula>=AND(AH4&gt;=D5,AH4&lt;=E5,D5&lt;&gt;"")</formula>
    </cfRule>
  </conditionalFormatting>
  <conditionalFormatting sqref="AI5">
    <cfRule type="expression" priority="30" dxfId="0">
      <formula>=AND(AI4&gt;=D5,AI4&lt;=E5,D5&lt;&gt;"")</formula>
    </cfRule>
  </conditionalFormatting>
  <conditionalFormatting sqref="AJ5">
    <cfRule type="expression" priority="31" dxfId="0">
      <formula>=AND(AJ4&gt;=D5,AJ4&lt;=E5,D5&lt;&gt;"")</formula>
    </cfRule>
  </conditionalFormatting>
  <conditionalFormatting sqref="AK5">
    <cfRule type="expression" priority="32" dxfId="0">
      <formula>=AND(AK4&gt;=D5,AK4&lt;=E5,D5&lt;&gt;"")</formula>
    </cfRule>
  </conditionalFormatting>
  <conditionalFormatting sqref="AL5">
    <cfRule type="expression" priority="33" dxfId="0">
      <formula>=AND(AL4&gt;=D5,AL4&lt;=E5,D5&lt;&gt;"")</formula>
    </cfRule>
  </conditionalFormatting>
  <conditionalFormatting sqref="AM5">
    <cfRule type="expression" priority="34" dxfId="0">
      <formula>=AND(AM4&gt;=D5,AM4&lt;=E5,D5&lt;&gt;"")</formula>
    </cfRule>
  </conditionalFormatting>
  <conditionalFormatting sqref="AN5">
    <cfRule type="expression" priority="35" dxfId="0">
      <formula>=AND(AN4&gt;=D5,AN4&lt;=E5,D5&lt;&gt;"")</formula>
    </cfRule>
  </conditionalFormatting>
  <conditionalFormatting sqref="AO5">
    <cfRule type="expression" priority="36" dxfId="0">
      <formula>=AND(AO4&gt;=D5,AO4&lt;=E5,D5&lt;&gt;"")</formula>
    </cfRule>
  </conditionalFormatting>
  <conditionalFormatting sqref="AP5">
    <cfRule type="expression" priority="37" dxfId="0">
      <formula>=AND(AP4&gt;=D5,AP4&lt;=E5,D5&lt;&gt;"")</formula>
    </cfRule>
  </conditionalFormatting>
  <conditionalFormatting sqref="AQ5">
    <cfRule type="expression" priority="38" dxfId="0">
      <formula>=AND(AQ4&gt;=D5,AQ4&lt;=E5,D5&lt;&gt;"")</formula>
    </cfRule>
  </conditionalFormatting>
  <conditionalFormatting sqref="AR5">
    <cfRule type="expression" priority="39" dxfId="0">
      <formula>=AND(AR4&gt;=D5,AR4&lt;=E5,D5&lt;&gt;"")</formula>
    </cfRule>
  </conditionalFormatting>
  <conditionalFormatting sqref="AS5">
    <cfRule type="expression" priority="40" dxfId="0">
      <formula>=AND(AS4&gt;=D5,AS4&lt;=E5,D5&lt;&gt;"")</formula>
    </cfRule>
  </conditionalFormatting>
  <conditionalFormatting sqref="AT5">
    <cfRule type="expression" priority="41" dxfId="0">
      <formula>=AND(AT4&gt;=D5,AT4&lt;=E5,D5&lt;&gt;"")</formula>
    </cfRule>
  </conditionalFormatting>
  <conditionalFormatting sqref="AU5">
    <cfRule type="expression" priority="42" dxfId="0">
      <formula>=AND(AU4&gt;=D5,AU4&lt;=E5,D5&lt;&gt;"")</formula>
    </cfRule>
  </conditionalFormatting>
  <conditionalFormatting sqref="AV5">
    <cfRule type="expression" priority="43" dxfId="0">
      <formula>=AND(AV4&gt;=D5,AV4&lt;=E5,D5&lt;&gt;"")</formula>
    </cfRule>
  </conditionalFormatting>
  <conditionalFormatting sqref="AW5">
    <cfRule type="expression" priority="44" dxfId="0">
      <formula>=AND(AW4&gt;=D5,AW4&lt;=E5,D5&lt;&gt;"")</formula>
    </cfRule>
  </conditionalFormatting>
  <conditionalFormatting sqref="AX5">
    <cfRule type="expression" priority="45" dxfId="0">
      <formula>=AND(AX4&gt;=D5,AX4&lt;=E5,D5&lt;&gt;"")</formula>
    </cfRule>
  </conditionalFormatting>
  <conditionalFormatting sqref="AY5">
    <cfRule type="expression" priority="46" dxfId="0">
      <formula>=AND(AY4&gt;=D5,AY4&lt;=E5,D5&lt;&gt;"")</formula>
    </cfRule>
  </conditionalFormatting>
  <conditionalFormatting sqref="AZ5">
    <cfRule type="expression" priority="47" dxfId="0">
      <formula>=AND(AZ4&gt;=D5,AZ4&lt;=E5,D5&lt;&gt;"")</formula>
    </cfRule>
  </conditionalFormatting>
  <conditionalFormatting sqref="BA5">
    <cfRule type="expression" priority="48" dxfId="0">
      <formula>=AND(BA4&gt;=D5,BA4&lt;=E5,D5&lt;&gt;"")</formula>
    </cfRule>
  </conditionalFormatting>
  <conditionalFormatting sqref="BB5">
    <cfRule type="expression" priority="49" dxfId="0">
      <formula>=AND(BB4&gt;=D5,BB4&lt;=E5,D5&lt;&gt;"")</formula>
    </cfRule>
  </conditionalFormatting>
  <conditionalFormatting sqref="BC5">
    <cfRule type="expression" priority="50" dxfId="0">
      <formula>=AND(BC4&gt;=D5,BC4&lt;=E5,D5&lt;&gt;"")</formula>
    </cfRule>
  </conditionalFormatting>
  <conditionalFormatting sqref="BD5">
    <cfRule type="expression" priority="51" dxfId="0">
      <formula>=AND(BD4&gt;=D5,BD4&lt;=E5,D5&lt;&gt;"")</formula>
    </cfRule>
  </conditionalFormatting>
  <conditionalFormatting sqref="BE5">
    <cfRule type="expression" priority="52" dxfId="0">
      <formula>=AND(BE4&gt;=D5,BE4&lt;=E5,D5&lt;&gt;"")</formula>
    </cfRule>
  </conditionalFormatting>
  <conditionalFormatting sqref="BF5">
    <cfRule type="expression" priority="53" dxfId="0">
      <formula>=AND(BF4&gt;=D5,BF4&lt;=E5,D5&lt;&gt;"")</formula>
    </cfRule>
  </conditionalFormatting>
  <conditionalFormatting sqref="BG5">
    <cfRule type="expression" priority="54" dxfId="0">
      <formula>=AND(BG4&gt;=D5,BG4&lt;=E5,D5&lt;&gt;"")</formula>
    </cfRule>
  </conditionalFormatting>
  <conditionalFormatting sqref="BH5">
    <cfRule type="expression" priority="55" dxfId="0">
      <formula>=AND(BH4&gt;=D5,BH4&lt;=E5,D5&lt;&gt;"")</formula>
    </cfRule>
  </conditionalFormatting>
  <conditionalFormatting sqref="BI5">
    <cfRule type="expression" priority="56" dxfId="0">
      <formula>=AND(BI4&gt;=D5,BI4&lt;=E5,D5&lt;&gt;"")</formula>
    </cfRule>
  </conditionalFormatting>
  <conditionalFormatting sqref="BJ5">
    <cfRule type="expression" priority="57" dxfId="0">
      <formula>=AND(BJ4&gt;=D5,BJ4&lt;=E5,D5&lt;&gt;"")</formula>
    </cfRule>
  </conditionalFormatting>
  <conditionalFormatting sqref="BK5">
    <cfRule type="expression" priority="58" dxfId="0">
      <formula>=AND(BK4&gt;=D5,BK4&lt;=E5,D5&lt;&gt;"")</formula>
    </cfRule>
  </conditionalFormatting>
  <conditionalFormatting sqref="BL5">
    <cfRule type="expression" priority="59" dxfId="0">
      <formula>=AND(BL4&gt;=D5,BL4&lt;=E5,D5&lt;&gt;"")</formula>
    </cfRule>
  </conditionalFormatting>
  <conditionalFormatting sqref="BM5">
    <cfRule type="expression" priority="60" dxfId="0">
      <formula>=AND(BM4&gt;=D5,BM4&lt;=E5,D5&lt;&gt;"")</formula>
    </cfRule>
  </conditionalFormatting>
  <conditionalFormatting sqref="F6">
    <cfRule type="expression" priority="61" dxfId="0">
      <formula>=AND(F4&gt;=D6,F4&lt;=E6,D6&lt;&gt;"")</formula>
    </cfRule>
  </conditionalFormatting>
  <conditionalFormatting sqref="G6">
    <cfRule type="expression" priority="62" dxfId="0">
      <formula>=AND(G4&gt;=D6,G4&lt;=E6,D6&lt;&gt;"")</formula>
    </cfRule>
  </conditionalFormatting>
  <conditionalFormatting sqref="H6">
    <cfRule type="expression" priority="63" dxfId="0">
      <formula>=AND(H4&gt;=D6,H4&lt;=E6,D6&lt;&gt;"")</formula>
    </cfRule>
  </conditionalFormatting>
  <conditionalFormatting sqref="I6">
    <cfRule type="expression" priority="64" dxfId="0">
      <formula>=AND(I4&gt;=D6,I4&lt;=E6,D6&lt;&gt;"")</formula>
    </cfRule>
  </conditionalFormatting>
  <conditionalFormatting sqref="J6">
    <cfRule type="expression" priority="65" dxfId="0">
      <formula>=AND(J4&gt;=D6,J4&lt;=E6,D6&lt;&gt;"")</formula>
    </cfRule>
  </conditionalFormatting>
  <conditionalFormatting sqref="K6">
    <cfRule type="expression" priority="66" dxfId="0">
      <formula>=AND(K4&gt;=D6,K4&lt;=E6,D6&lt;&gt;"")</formula>
    </cfRule>
  </conditionalFormatting>
  <conditionalFormatting sqref="L6">
    <cfRule type="expression" priority="67" dxfId="0">
      <formula>=AND(L4&gt;=D6,L4&lt;=E6,D6&lt;&gt;"")</formula>
    </cfRule>
  </conditionalFormatting>
  <conditionalFormatting sqref="M6">
    <cfRule type="expression" priority="68" dxfId="0">
      <formula>=AND(M4&gt;=D6,M4&lt;=E6,D6&lt;&gt;"")</formula>
    </cfRule>
  </conditionalFormatting>
  <conditionalFormatting sqref="N6">
    <cfRule type="expression" priority="69" dxfId="0">
      <formula>=AND(N4&gt;=D6,N4&lt;=E6,D6&lt;&gt;"")</formula>
    </cfRule>
  </conditionalFormatting>
  <conditionalFormatting sqref="O6">
    <cfRule type="expression" priority="70" dxfId="0">
      <formula>=AND(O4&gt;=D6,O4&lt;=E6,D6&lt;&gt;"")</formula>
    </cfRule>
  </conditionalFormatting>
  <conditionalFormatting sqref="P6">
    <cfRule type="expression" priority="71" dxfId="0">
      <formula>=AND(P4&gt;=D6,P4&lt;=E6,D6&lt;&gt;"")</formula>
    </cfRule>
  </conditionalFormatting>
  <conditionalFormatting sqref="Q6">
    <cfRule type="expression" priority="72" dxfId="0">
      <formula>=AND(Q4&gt;=D6,Q4&lt;=E6,D6&lt;&gt;"")</formula>
    </cfRule>
  </conditionalFormatting>
  <conditionalFormatting sqref="R6">
    <cfRule type="expression" priority="73" dxfId="0">
      <formula>=AND(R4&gt;=D6,R4&lt;=E6,D6&lt;&gt;"")</formula>
    </cfRule>
  </conditionalFormatting>
  <conditionalFormatting sqref="S6">
    <cfRule type="expression" priority="74" dxfId="0">
      <formula>=AND(S4&gt;=D6,S4&lt;=E6,D6&lt;&gt;"")</formula>
    </cfRule>
  </conditionalFormatting>
  <conditionalFormatting sqref="T6">
    <cfRule type="expression" priority="75" dxfId="0">
      <formula>=AND(T4&gt;=D6,T4&lt;=E6,D6&lt;&gt;"")</formula>
    </cfRule>
  </conditionalFormatting>
  <conditionalFormatting sqref="U6">
    <cfRule type="expression" priority="76" dxfId="0">
      <formula>=AND(U4&gt;=D6,U4&lt;=E6,D6&lt;&gt;"")</formula>
    </cfRule>
  </conditionalFormatting>
  <conditionalFormatting sqref="V6">
    <cfRule type="expression" priority="77" dxfId="0">
      <formula>=AND(V4&gt;=D6,V4&lt;=E6,D6&lt;&gt;"")</formula>
    </cfRule>
  </conditionalFormatting>
  <conditionalFormatting sqref="W6">
    <cfRule type="expression" priority="78" dxfId="0">
      <formula>=AND(W4&gt;=D6,W4&lt;=E6,D6&lt;&gt;"")</formula>
    </cfRule>
  </conditionalFormatting>
  <conditionalFormatting sqref="X6">
    <cfRule type="expression" priority="79" dxfId="0">
      <formula>=AND(X4&gt;=D6,X4&lt;=E6,D6&lt;&gt;"")</formula>
    </cfRule>
  </conditionalFormatting>
  <conditionalFormatting sqref="Y6">
    <cfRule type="expression" priority="80" dxfId="0">
      <formula>=AND(Y4&gt;=D6,Y4&lt;=E6,D6&lt;&gt;"")</formula>
    </cfRule>
  </conditionalFormatting>
  <conditionalFormatting sqref="Z6">
    <cfRule type="expression" priority="81" dxfId="0">
      <formula>=AND(Z4&gt;=D6,Z4&lt;=E6,D6&lt;&gt;"")</formula>
    </cfRule>
  </conditionalFormatting>
  <conditionalFormatting sqref="AA6">
    <cfRule type="expression" priority="82" dxfId="0">
      <formula>=AND(AA4&gt;=D6,AA4&lt;=E6,D6&lt;&gt;"")</formula>
    </cfRule>
  </conditionalFormatting>
  <conditionalFormatting sqref="AB6">
    <cfRule type="expression" priority="83" dxfId="0">
      <formula>=AND(AB4&gt;=D6,AB4&lt;=E6,D6&lt;&gt;"")</formula>
    </cfRule>
  </conditionalFormatting>
  <conditionalFormatting sqref="AC6">
    <cfRule type="expression" priority="84" dxfId="0">
      <formula>=AND(AC4&gt;=D6,AC4&lt;=E6,D6&lt;&gt;"")</formula>
    </cfRule>
  </conditionalFormatting>
  <conditionalFormatting sqref="AD6">
    <cfRule type="expression" priority="85" dxfId="0">
      <formula>=AND(AD4&gt;=D6,AD4&lt;=E6,D6&lt;&gt;"")</formula>
    </cfRule>
  </conditionalFormatting>
  <conditionalFormatting sqref="AE6">
    <cfRule type="expression" priority="86" dxfId="0">
      <formula>=AND(AE4&gt;=D6,AE4&lt;=E6,D6&lt;&gt;"")</formula>
    </cfRule>
  </conditionalFormatting>
  <conditionalFormatting sqref="AF6">
    <cfRule type="expression" priority="87" dxfId="0">
      <formula>=AND(AF4&gt;=D6,AF4&lt;=E6,D6&lt;&gt;"")</formula>
    </cfRule>
  </conditionalFormatting>
  <conditionalFormatting sqref="AG6">
    <cfRule type="expression" priority="88" dxfId="0">
      <formula>=AND(AG4&gt;=D6,AG4&lt;=E6,D6&lt;&gt;"")</formula>
    </cfRule>
  </conditionalFormatting>
  <conditionalFormatting sqref="AH6">
    <cfRule type="expression" priority="89" dxfId="0">
      <formula>=AND(AH4&gt;=D6,AH4&lt;=E6,D6&lt;&gt;"")</formula>
    </cfRule>
  </conditionalFormatting>
  <conditionalFormatting sqref="AI6">
    <cfRule type="expression" priority="90" dxfId="0">
      <formula>=AND(AI4&gt;=D6,AI4&lt;=E6,D6&lt;&gt;"")</formula>
    </cfRule>
  </conditionalFormatting>
  <conditionalFormatting sqref="AJ6">
    <cfRule type="expression" priority="91" dxfId="0">
      <formula>=AND(AJ4&gt;=D6,AJ4&lt;=E6,D6&lt;&gt;"")</formula>
    </cfRule>
  </conditionalFormatting>
  <conditionalFormatting sqref="AK6">
    <cfRule type="expression" priority="92" dxfId="0">
      <formula>=AND(AK4&gt;=D6,AK4&lt;=E6,D6&lt;&gt;"")</formula>
    </cfRule>
  </conditionalFormatting>
  <conditionalFormatting sqref="AL6">
    <cfRule type="expression" priority="93" dxfId="0">
      <formula>=AND(AL4&gt;=D6,AL4&lt;=E6,D6&lt;&gt;"")</formula>
    </cfRule>
  </conditionalFormatting>
  <conditionalFormatting sqref="AM6">
    <cfRule type="expression" priority="94" dxfId="0">
      <formula>=AND(AM4&gt;=D6,AM4&lt;=E6,D6&lt;&gt;"")</formula>
    </cfRule>
  </conditionalFormatting>
  <conditionalFormatting sqref="AN6">
    <cfRule type="expression" priority="95" dxfId="0">
      <formula>=AND(AN4&gt;=D6,AN4&lt;=E6,D6&lt;&gt;"")</formula>
    </cfRule>
  </conditionalFormatting>
  <conditionalFormatting sqref="AO6">
    <cfRule type="expression" priority="96" dxfId="0">
      <formula>=AND(AO4&gt;=D6,AO4&lt;=E6,D6&lt;&gt;"")</formula>
    </cfRule>
  </conditionalFormatting>
  <conditionalFormatting sqref="AP6">
    <cfRule type="expression" priority="97" dxfId="0">
      <formula>=AND(AP4&gt;=D6,AP4&lt;=E6,D6&lt;&gt;"")</formula>
    </cfRule>
  </conditionalFormatting>
  <conditionalFormatting sqref="AQ6">
    <cfRule type="expression" priority="98" dxfId="0">
      <formula>=AND(AQ4&gt;=D6,AQ4&lt;=E6,D6&lt;&gt;"")</formula>
    </cfRule>
  </conditionalFormatting>
  <conditionalFormatting sqref="AR6">
    <cfRule type="expression" priority="99" dxfId="0">
      <formula>=AND(AR4&gt;=D6,AR4&lt;=E6,D6&lt;&gt;"")</formula>
    </cfRule>
  </conditionalFormatting>
  <conditionalFormatting sqref="AS6">
    <cfRule type="expression" priority="100" dxfId="0">
      <formula>=AND(AS4&gt;=D6,AS4&lt;=E6,D6&lt;&gt;"")</formula>
    </cfRule>
  </conditionalFormatting>
  <conditionalFormatting sqref="AT6">
    <cfRule type="expression" priority="101" dxfId="0">
      <formula>=AND(AT4&gt;=D6,AT4&lt;=E6,D6&lt;&gt;"")</formula>
    </cfRule>
  </conditionalFormatting>
  <conditionalFormatting sqref="AU6">
    <cfRule type="expression" priority="102" dxfId="0">
      <formula>=AND(AU4&gt;=D6,AU4&lt;=E6,D6&lt;&gt;"")</formula>
    </cfRule>
  </conditionalFormatting>
  <conditionalFormatting sqref="AV6">
    <cfRule type="expression" priority="103" dxfId="0">
      <formula>=AND(AV4&gt;=D6,AV4&lt;=E6,D6&lt;&gt;"")</formula>
    </cfRule>
  </conditionalFormatting>
  <conditionalFormatting sqref="AW6">
    <cfRule type="expression" priority="104" dxfId="0">
      <formula>=AND(AW4&gt;=D6,AW4&lt;=E6,D6&lt;&gt;"")</formula>
    </cfRule>
  </conditionalFormatting>
  <conditionalFormatting sqref="AX6">
    <cfRule type="expression" priority="105" dxfId="0">
      <formula>=AND(AX4&gt;=D6,AX4&lt;=E6,D6&lt;&gt;"")</formula>
    </cfRule>
  </conditionalFormatting>
  <conditionalFormatting sqref="AY6">
    <cfRule type="expression" priority="106" dxfId="0">
      <formula>=AND(AY4&gt;=D6,AY4&lt;=E6,D6&lt;&gt;"")</formula>
    </cfRule>
  </conditionalFormatting>
  <conditionalFormatting sqref="AZ6">
    <cfRule type="expression" priority="107" dxfId="0">
      <formula>=AND(AZ4&gt;=D6,AZ4&lt;=E6,D6&lt;&gt;"")</formula>
    </cfRule>
  </conditionalFormatting>
  <conditionalFormatting sqref="BA6">
    <cfRule type="expression" priority="108" dxfId="0">
      <formula>=AND(BA4&gt;=D6,BA4&lt;=E6,D6&lt;&gt;"")</formula>
    </cfRule>
  </conditionalFormatting>
  <conditionalFormatting sqref="BB6">
    <cfRule type="expression" priority="109" dxfId="0">
      <formula>=AND(BB4&gt;=D6,BB4&lt;=E6,D6&lt;&gt;"")</formula>
    </cfRule>
  </conditionalFormatting>
  <conditionalFormatting sqref="BC6">
    <cfRule type="expression" priority="110" dxfId="0">
      <formula>=AND(BC4&gt;=D6,BC4&lt;=E6,D6&lt;&gt;"")</formula>
    </cfRule>
  </conditionalFormatting>
  <conditionalFormatting sqref="BD6">
    <cfRule type="expression" priority="111" dxfId="0">
      <formula>=AND(BD4&gt;=D6,BD4&lt;=E6,D6&lt;&gt;"")</formula>
    </cfRule>
  </conditionalFormatting>
  <conditionalFormatting sqref="BE6">
    <cfRule type="expression" priority="112" dxfId="0">
      <formula>=AND(BE4&gt;=D6,BE4&lt;=E6,D6&lt;&gt;"")</formula>
    </cfRule>
  </conditionalFormatting>
  <conditionalFormatting sqref="BF6">
    <cfRule type="expression" priority="113" dxfId="0">
      <formula>=AND(BF4&gt;=D6,BF4&lt;=E6,D6&lt;&gt;"")</formula>
    </cfRule>
  </conditionalFormatting>
  <conditionalFormatting sqref="BG6">
    <cfRule type="expression" priority="114" dxfId="0">
      <formula>=AND(BG4&gt;=D6,BG4&lt;=E6,D6&lt;&gt;"")</formula>
    </cfRule>
  </conditionalFormatting>
  <conditionalFormatting sqref="BH6">
    <cfRule type="expression" priority="115" dxfId="0">
      <formula>=AND(BH4&gt;=D6,BH4&lt;=E6,D6&lt;&gt;"")</formula>
    </cfRule>
  </conditionalFormatting>
  <conditionalFormatting sqref="BI6">
    <cfRule type="expression" priority="116" dxfId="0">
      <formula>=AND(BI4&gt;=D6,BI4&lt;=E6,D6&lt;&gt;"")</formula>
    </cfRule>
  </conditionalFormatting>
  <conditionalFormatting sqref="BJ6">
    <cfRule type="expression" priority="117" dxfId="0">
      <formula>=AND(BJ4&gt;=D6,BJ4&lt;=E6,D6&lt;&gt;"")</formula>
    </cfRule>
  </conditionalFormatting>
  <conditionalFormatting sqref="BK6">
    <cfRule type="expression" priority="118" dxfId="0">
      <formula>=AND(BK4&gt;=D6,BK4&lt;=E6,D6&lt;&gt;"")</formula>
    </cfRule>
  </conditionalFormatting>
  <conditionalFormatting sqref="BL6">
    <cfRule type="expression" priority="119" dxfId="0">
      <formula>=AND(BL4&gt;=D6,BL4&lt;=E6,D6&lt;&gt;"")</formula>
    </cfRule>
  </conditionalFormatting>
  <conditionalFormatting sqref="BM6">
    <cfRule type="expression" priority="120" dxfId="0">
      <formula>=AND(BM4&gt;=D6,BM4&lt;=E6,D6&lt;&gt;"")</formula>
    </cfRule>
  </conditionalFormatting>
  <conditionalFormatting sqref="F7">
    <cfRule type="expression" priority="121" dxfId="0">
      <formula>=AND(F4&gt;=D7,F4&lt;=E7,D7&lt;&gt;"")</formula>
    </cfRule>
  </conditionalFormatting>
  <conditionalFormatting sqref="G7">
    <cfRule type="expression" priority="122" dxfId="0">
      <formula>=AND(G4&gt;=D7,G4&lt;=E7,D7&lt;&gt;"")</formula>
    </cfRule>
  </conditionalFormatting>
  <conditionalFormatting sqref="H7">
    <cfRule type="expression" priority="123" dxfId="0">
      <formula>=AND(H4&gt;=D7,H4&lt;=E7,D7&lt;&gt;"")</formula>
    </cfRule>
  </conditionalFormatting>
  <conditionalFormatting sqref="I7">
    <cfRule type="expression" priority="124" dxfId="0">
      <formula>=AND(I4&gt;=D7,I4&lt;=E7,D7&lt;&gt;"")</formula>
    </cfRule>
  </conditionalFormatting>
  <conditionalFormatting sqref="J7">
    <cfRule type="expression" priority="125" dxfId="0">
      <formula>=AND(J4&gt;=D7,J4&lt;=E7,D7&lt;&gt;"")</formula>
    </cfRule>
  </conditionalFormatting>
  <conditionalFormatting sqref="K7">
    <cfRule type="expression" priority="126" dxfId="0">
      <formula>=AND(K4&gt;=D7,K4&lt;=E7,D7&lt;&gt;"")</formula>
    </cfRule>
  </conditionalFormatting>
  <conditionalFormatting sqref="L7">
    <cfRule type="expression" priority="127" dxfId="0">
      <formula>=AND(L4&gt;=D7,L4&lt;=E7,D7&lt;&gt;"")</formula>
    </cfRule>
  </conditionalFormatting>
  <conditionalFormatting sqref="M7">
    <cfRule type="expression" priority="128" dxfId="0">
      <formula>=AND(M4&gt;=D7,M4&lt;=E7,D7&lt;&gt;"")</formula>
    </cfRule>
  </conditionalFormatting>
  <conditionalFormatting sqref="N7">
    <cfRule type="expression" priority="129" dxfId="0">
      <formula>=AND(N4&gt;=D7,N4&lt;=E7,D7&lt;&gt;"")</formula>
    </cfRule>
  </conditionalFormatting>
  <conditionalFormatting sqref="O7">
    <cfRule type="expression" priority="130" dxfId="0">
      <formula>=AND(O4&gt;=D7,O4&lt;=E7,D7&lt;&gt;"")</formula>
    </cfRule>
  </conditionalFormatting>
  <conditionalFormatting sqref="P7">
    <cfRule type="expression" priority="131" dxfId="0">
      <formula>=AND(P4&gt;=D7,P4&lt;=E7,D7&lt;&gt;"")</formula>
    </cfRule>
  </conditionalFormatting>
  <conditionalFormatting sqref="Q7">
    <cfRule type="expression" priority="132" dxfId="0">
      <formula>=AND(Q4&gt;=D7,Q4&lt;=E7,D7&lt;&gt;"")</formula>
    </cfRule>
  </conditionalFormatting>
  <conditionalFormatting sqref="R7">
    <cfRule type="expression" priority="133" dxfId="0">
      <formula>=AND(R4&gt;=D7,R4&lt;=E7,D7&lt;&gt;"")</formula>
    </cfRule>
  </conditionalFormatting>
  <conditionalFormatting sqref="S7">
    <cfRule type="expression" priority="134" dxfId="0">
      <formula>=AND(S4&gt;=D7,S4&lt;=E7,D7&lt;&gt;"")</formula>
    </cfRule>
  </conditionalFormatting>
  <conditionalFormatting sqref="T7">
    <cfRule type="expression" priority="135" dxfId="0">
      <formula>=AND(T4&gt;=D7,T4&lt;=E7,D7&lt;&gt;"")</formula>
    </cfRule>
  </conditionalFormatting>
  <conditionalFormatting sqref="U7">
    <cfRule type="expression" priority="136" dxfId="0">
      <formula>=AND(U4&gt;=D7,U4&lt;=E7,D7&lt;&gt;"")</formula>
    </cfRule>
  </conditionalFormatting>
  <conditionalFormatting sqref="V7">
    <cfRule type="expression" priority="137" dxfId="0">
      <formula>=AND(V4&gt;=D7,V4&lt;=E7,D7&lt;&gt;"")</formula>
    </cfRule>
  </conditionalFormatting>
  <conditionalFormatting sqref="W7">
    <cfRule type="expression" priority="138" dxfId="0">
      <formula>=AND(W4&gt;=D7,W4&lt;=E7,D7&lt;&gt;"")</formula>
    </cfRule>
  </conditionalFormatting>
  <conditionalFormatting sqref="X7">
    <cfRule type="expression" priority="139" dxfId="0">
      <formula>=AND(X4&gt;=D7,X4&lt;=E7,D7&lt;&gt;"")</formula>
    </cfRule>
  </conditionalFormatting>
  <conditionalFormatting sqref="Y7">
    <cfRule type="expression" priority="140" dxfId="0">
      <formula>=AND(Y4&gt;=D7,Y4&lt;=E7,D7&lt;&gt;"")</formula>
    </cfRule>
  </conditionalFormatting>
  <conditionalFormatting sqref="Z7">
    <cfRule type="expression" priority="141" dxfId="0">
      <formula>=AND(Z4&gt;=D7,Z4&lt;=E7,D7&lt;&gt;"")</formula>
    </cfRule>
  </conditionalFormatting>
  <conditionalFormatting sqref="AA7">
    <cfRule type="expression" priority="142" dxfId="0">
      <formula>=AND(AA4&gt;=D7,AA4&lt;=E7,D7&lt;&gt;"")</formula>
    </cfRule>
  </conditionalFormatting>
  <conditionalFormatting sqref="AB7">
    <cfRule type="expression" priority="143" dxfId="0">
      <formula>=AND(AB4&gt;=D7,AB4&lt;=E7,D7&lt;&gt;"")</formula>
    </cfRule>
  </conditionalFormatting>
  <conditionalFormatting sqref="AC7">
    <cfRule type="expression" priority="144" dxfId="0">
      <formula>=AND(AC4&gt;=D7,AC4&lt;=E7,D7&lt;&gt;"")</formula>
    </cfRule>
  </conditionalFormatting>
  <conditionalFormatting sqref="AD7">
    <cfRule type="expression" priority="145" dxfId="0">
      <formula>=AND(AD4&gt;=D7,AD4&lt;=E7,D7&lt;&gt;"")</formula>
    </cfRule>
  </conditionalFormatting>
  <conditionalFormatting sqref="AE7">
    <cfRule type="expression" priority="146" dxfId="0">
      <formula>=AND(AE4&gt;=D7,AE4&lt;=E7,D7&lt;&gt;"")</formula>
    </cfRule>
  </conditionalFormatting>
  <conditionalFormatting sqref="AF7">
    <cfRule type="expression" priority="147" dxfId="0">
      <formula>=AND(AF4&gt;=D7,AF4&lt;=E7,D7&lt;&gt;"")</formula>
    </cfRule>
  </conditionalFormatting>
  <conditionalFormatting sqref="AG7">
    <cfRule type="expression" priority="148" dxfId="0">
      <formula>=AND(AG4&gt;=D7,AG4&lt;=E7,D7&lt;&gt;"")</formula>
    </cfRule>
  </conditionalFormatting>
  <conditionalFormatting sqref="AH7">
    <cfRule type="expression" priority="149" dxfId="0">
      <formula>=AND(AH4&gt;=D7,AH4&lt;=E7,D7&lt;&gt;"")</formula>
    </cfRule>
  </conditionalFormatting>
  <conditionalFormatting sqref="AI7">
    <cfRule type="expression" priority="150" dxfId="0">
      <formula>=AND(AI4&gt;=D7,AI4&lt;=E7,D7&lt;&gt;"")</formula>
    </cfRule>
  </conditionalFormatting>
  <conditionalFormatting sqref="AJ7">
    <cfRule type="expression" priority="151" dxfId="0">
      <formula>=AND(AJ4&gt;=D7,AJ4&lt;=E7,D7&lt;&gt;"")</formula>
    </cfRule>
  </conditionalFormatting>
  <conditionalFormatting sqref="AK7">
    <cfRule type="expression" priority="152" dxfId="0">
      <formula>=AND(AK4&gt;=D7,AK4&lt;=E7,D7&lt;&gt;"")</formula>
    </cfRule>
  </conditionalFormatting>
  <conditionalFormatting sqref="AL7">
    <cfRule type="expression" priority="153" dxfId="0">
      <formula>=AND(AL4&gt;=D7,AL4&lt;=E7,D7&lt;&gt;"")</formula>
    </cfRule>
  </conditionalFormatting>
  <conditionalFormatting sqref="AM7">
    <cfRule type="expression" priority="154" dxfId="0">
      <formula>=AND(AM4&gt;=D7,AM4&lt;=E7,D7&lt;&gt;"")</formula>
    </cfRule>
  </conditionalFormatting>
  <conditionalFormatting sqref="AN7">
    <cfRule type="expression" priority="155" dxfId="0">
      <formula>=AND(AN4&gt;=D7,AN4&lt;=E7,D7&lt;&gt;"")</formula>
    </cfRule>
  </conditionalFormatting>
  <conditionalFormatting sqref="AO7">
    <cfRule type="expression" priority="156" dxfId="0">
      <formula>=AND(AO4&gt;=D7,AO4&lt;=E7,D7&lt;&gt;"")</formula>
    </cfRule>
  </conditionalFormatting>
  <conditionalFormatting sqref="AP7">
    <cfRule type="expression" priority="157" dxfId="0">
      <formula>=AND(AP4&gt;=D7,AP4&lt;=E7,D7&lt;&gt;"")</formula>
    </cfRule>
  </conditionalFormatting>
  <conditionalFormatting sqref="AQ7">
    <cfRule type="expression" priority="158" dxfId="0">
      <formula>=AND(AQ4&gt;=D7,AQ4&lt;=E7,D7&lt;&gt;"")</formula>
    </cfRule>
  </conditionalFormatting>
  <conditionalFormatting sqref="AR7">
    <cfRule type="expression" priority="159" dxfId="0">
      <formula>=AND(AR4&gt;=D7,AR4&lt;=E7,D7&lt;&gt;"")</formula>
    </cfRule>
  </conditionalFormatting>
  <conditionalFormatting sqref="AS7">
    <cfRule type="expression" priority="160" dxfId="0">
      <formula>=AND(AS4&gt;=D7,AS4&lt;=E7,D7&lt;&gt;"")</formula>
    </cfRule>
  </conditionalFormatting>
  <conditionalFormatting sqref="AT7">
    <cfRule type="expression" priority="161" dxfId="0">
      <formula>=AND(AT4&gt;=D7,AT4&lt;=E7,D7&lt;&gt;"")</formula>
    </cfRule>
  </conditionalFormatting>
  <conditionalFormatting sqref="AU7">
    <cfRule type="expression" priority="162" dxfId="0">
      <formula>=AND(AU4&gt;=D7,AU4&lt;=E7,D7&lt;&gt;"")</formula>
    </cfRule>
  </conditionalFormatting>
  <conditionalFormatting sqref="AV7">
    <cfRule type="expression" priority="163" dxfId="0">
      <formula>=AND(AV4&gt;=D7,AV4&lt;=E7,D7&lt;&gt;"")</formula>
    </cfRule>
  </conditionalFormatting>
  <conditionalFormatting sqref="AW7">
    <cfRule type="expression" priority="164" dxfId="0">
      <formula>=AND(AW4&gt;=D7,AW4&lt;=E7,D7&lt;&gt;"")</formula>
    </cfRule>
  </conditionalFormatting>
  <conditionalFormatting sqref="AX7">
    <cfRule type="expression" priority="165" dxfId="0">
      <formula>=AND(AX4&gt;=D7,AX4&lt;=E7,D7&lt;&gt;"")</formula>
    </cfRule>
  </conditionalFormatting>
  <conditionalFormatting sqref="AY7">
    <cfRule type="expression" priority="166" dxfId="0">
      <formula>=AND(AY4&gt;=D7,AY4&lt;=E7,D7&lt;&gt;"")</formula>
    </cfRule>
  </conditionalFormatting>
  <conditionalFormatting sqref="AZ7">
    <cfRule type="expression" priority="167" dxfId="0">
      <formula>=AND(AZ4&gt;=D7,AZ4&lt;=E7,D7&lt;&gt;"")</formula>
    </cfRule>
  </conditionalFormatting>
  <conditionalFormatting sqref="BA7">
    <cfRule type="expression" priority="168" dxfId="0">
      <formula>=AND(BA4&gt;=D7,BA4&lt;=E7,D7&lt;&gt;"")</formula>
    </cfRule>
  </conditionalFormatting>
  <conditionalFormatting sqref="BB7">
    <cfRule type="expression" priority="169" dxfId="0">
      <formula>=AND(BB4&gt;=D7,BB4&lt;=E7,D7&lt;&gt;"")</formula>
    </cfRule>
  </conditionalFormatting>
  <conditionalFormatting sqref="BC7">
    <cfRule type="expression" priority="170" dxfId="0">
      <formula>=AND(BC4&gt;=D7,BC4&lt;=E7,D7&lt;&gt;"")</formula>
    </cfRule>
  </conditionalFormatting>
  <conditionalFormatting sqref="BD7">
    <cfRule type="expression" priority="171" dxfId="0">
      <formula>=AND(BD4&gt;=D7,BD4&lt;=E7,D7&lt;&gt;"")</formula>
    </cfRule>
  </conditionalFormatting>
  <conditionalFormatting sqref="BE7">
    <cfRule type="expression" priority="172" dxfId="0">
      <formula>=AND(BE4&gt;=D7,BE4&lt;=E7,D7&lt;&gt;"")</formula>
    </cfRule>
  </conditionalFormatting>
  <conditionalFormatting sqref="BF7">
    <cfRule type="expression" priority="173" dxfId="0">
      <formula>=AND(BF4&gt;=D7,BF4&lt;=E7,D7&lt;&gt;"")</formula>
    </cfRule>
  </conditionalFormatting>
  <conditionalFormatting sqref="BG7">
    <cfRule type="expression" priority="174" dxfId="0">
      <formula>=AND(BG4&gt;=D7,BG4&lt;=E7,D7&lt;&gt;"")</formula>
    </cfRule>
  </conditionalFormatting>
  <conditionalFormatting sqref="BH7">
    <cfRule type="expression" priority="175" dxfId="0">
      <formula>=AND(BH4&gt;=D7,BH4&lt;=E7,D7&lt;&gt;"")</formula>
    </cfRule>
  </conditionalFormatting>
  <conditionalFormatting sqref="BI7">
    <cfRule type="expression" priority="176" dxfId="0">
      <formula>=AND(BI4&gt;=D7,BI4&lt;=E7,D7&lt;&gt;"")</formula>
    </cfRule>
  </conditionalFormatting>
  <conditionalFormatting sqref="BJ7">
    <cfRule type="expression" priority="177" dxfId="0">
      <formula>=AND(BJ4&gt;=D7,BJ4&lt;=E7,D7&lt;&gt;"")</formula>
    </cfRule>
  </conditionalFormatting>
  <conditionalFormatting sqref="BK7">
    <cfRule type="expression" priority="178" dxfId="0">
      <formula>=AND(BK4&gt;=D7,BK4&lt;=E7,D7&lt;&gt;"")</formula>
    </cfRule>
  </conditionalFormatting>
  <conditionalFormatting sqref="BL7">
    <cfRule type="expression" priority="179" dxfId="0">
      <formula>=AND(BL4&gt;=D7,BL4&lt;=E7,D7&lt;&gt;"")</formula>
    </cfRule>
  </conditionalFormatting>
  <conditionalFormatting sqref="BM7">
    <cfRule type="expression" priority="180" dxfId="0">
      <formula>=AND(BM4&gt;=D7,BM4&lt;=E7,D7&lt;&gt;"")</formula>
    </cfRule>
  </conditionalFormatting>
  <conditionalFormatting sqref="F8">
    <cfRule type="expression" priority="181" dxfId="0">
      <formula>=AND(F4&gt;=D8,F4&lt;=E8,D8&lt;&gt;"")</formula>
    </cfRule>
  </conditionalFormatting>
  <conditionalFormatting sqref="G8">
    <cfRule type="expression" priority="182" dxfId="0">
      <formula>=AND(G4&gt;=D8,G4&lt;=E8,D8&lt;&gt;"")</formula>
    </cfRule>
  </conditionalFormatting>
  <conditionalFormatting sqref="H8">
    <cfRule type="expression" priority="183" dxfId="0">
      <formula>=AND(H4&gt;=D8,H4&lt;=E8,D8&lt;&gt;"")</formula>
    </cfRule>
  </conditionalFormatting>
  <conditionalFormatting sqref="I8">
    <cfRule type="expression" priority="184" dxfId="0">
      <formula>=AND(I4&gt;=D8,I4&lt;=E8,D8&lt;&gt;"")</formula>
    </cfRule>
  </conditionalFormatting>
  <conditionalFormatting sqref="J8">
    <cfRule type="expression" priority="185" dxfId="0">
      <formula>=AND(J4&gt;=D8,J4&lt;=E8,D8&lt;&gt;"")</formula>
    </cfRule>
  </conditionalFormatting>
  <conditionalFormatting sqref="K8">
    <cfRule type="expression" priority="186" dxfId="0">
      <formula>=AND(K4&gt;=D8,K4&lt;=E8,D8&lt;&gt;"")</formula>
    </cfRule>
  </conditionalFormatting>
  <conditionalFormatting sqref="L8">
    <cfRule type="expression" priority="187" dxfId="0">
      <formula>=AND(L4&gt;=D8,L4&lt;=E8,D8&lt;&gt;"")</formula>
    </cfRule>
  </conditionalFormatting>
  <conditionalFormatting sqref="M8">
    <cfRule type="expression" priority="188" dxfId="0">
      <formula>=AND(M4&gt;=D8,M4&lt;=E8,D8&lt;&gt;"")</formula>
    </cfRule>
  </conditionalFormatting>
  <conditionalFormatting sqref="N8">
    <cfRule type="expression" priority="189" dxfId="0">
      <formula>=AND(N4&gt;=D8,N4&lt;=E8,D8&lt;&gt;"")</formula>
    </cfRule>
  </conditionalFormatting>
  <conditionalFormatting sqref="O8">
    <cfRule type="expression" priority="190" dxfId="0">
      <formula>=AND(O4&gt;=D8,O4&lt;=E8,D8&lt;&gt;"")</formula>
    </cfRule>
  </conditionalFormatting>
  <conditionalFormatting sqref="P8">
    <cfRule type="expression" priority="191" dxfId="0">
      <formula>=AND(P4&gt;=D8,P4&lt;=E8,D8&lt;&gt;"")</formula>
    </cfRule>
  </conditionalFormatting>
  <conditionalFormatting sqref="Q8">
    <cfRule type="expression" priority="192" dxfId="0">
      <formula>=AND(Q4&gt;=D8,Q4&lt;=E8,D8&lt;&gt;"")</formula>
    </cfRule>
  </conditionalFormatting>
  <conditionalFormatting sqref="R8">
    <cfRule type="expression" priority="193" dxfId="0">
      <formula>=AND(R4&gt;=D8,R4&lt;=E8,D8&lt;&gt;"")</formula>
    </cfRule>
  </conditionalFormatting>
  <conditionalFormatting sqref="S8">
    <cfRule type="expression" priority="194" dxfId="0">
      <formula>=AND(S4&gt;=D8,S4&lt;=E8,D8&lt;&gt;"")</formula>
    </cfRule>
  </conditionalFormatting>
  <conditionalFormatting sqref="T8">
    <cfRule type="expression" priority="195" dxfId="0">
      <formula>=AND(T4&gt;=D8,T4&lt;=E8,D8&lt;&gt;"")</formula>
    </cfRule>
  </conditionalFormatting>
  <conditionalFormatting sqref="U8">
    <cfRule type="expression" priority="196" dxfId="0">
      <formula>=AND(U4&gt;=D8,U4&lt;=E8,D8&lt;&gt;"")</formula>
    </cfRule>
  </conditionalFormatting>
  <conditionalFormatting sqref="V8">
    <cfRule type="expression" priority="197" dxfId="0">
      <formula>=AND(V4&gt;=D8,V4&lt;=E8,D8&lt;&gt;"")</formula>
    </cfRule>
  </conditionalFormatting>
  <conditionalFormatting sqref="W8">
    <cfRule type="expression" priority="198" dxfId="0">
      <formula>=AND(W4&gt;=D8,W4&lt;=E8,D8&lt;&gt;"")</formula>
    </cfRule>
  </conditionalFormatting>
  <conditionalFormatting sqref="X8">
    <cfRule type="expression" priority="199" dxfId="0">
      <formula>=AND(X4&gt;=D8,X4&lt;=E8,D8&lt;&gt;"")</formula>
    </cfRule>
  </conditionalFormatting>
  <conditionalFormatting sqref="Y8">
    <cfRule type="expression" priority="200" dxfId="0">
      <formula>=AND(Y4&gt;=D8,Y4&lt;=E8,D8&lt;&gt;"")</formula>
    </cfRule>
  </conditionalFormatting>
  <conditionalFormatting sqref="Z8">
    <cfRule type="expression" priority="201" dxfId="0">
      <formula>=AND(Z4&gt;=D8,Z4&lt;=E8,D8&lt;&gt;"")</formula>
    </cfRule>
  </conditionalFormatting>
  <conditionalFormatting sqref="AA8">
    <cfRule type="expression" priority="202" dxfId="0">
      <formula>=AND(AA4&gt;=D8,AA4&lt;=E8,D8&lt;&gt;"")</formula>
    </cfRule>
  </conditionalFormatting>
  <conditionalFormatting sqref="AB8">
    <cfRule type="expression" priority="203" dxfId="0">
      <formula>=AND(AB4&gt;=D8,AB4&lt;=E8,D8&lt;&gt;"")</formula>
    </cfRule>
  </conditionalFormatting>
  <conditionalFormatting sqref="AC8">
    <cfRule type="expression" priority="204" dxfId="0">
      <formula>=AND(AC4&gt;=D8,AC4&lt;=E8,D8&lt;&gt;"")</formula>
    </cfRule>
  </conditionalFormatting>
  <conditionalFormatting sqref="AD8">
    <cfRule type="expression" priority="205" dxfId="0">
      <formula>=AND(AD4&gt;=D8,AD4&lt;=E8,D8&lt;&gt;"")</formula>
    </cfRule>
  </conditionalFormatting>
  <conditionalFormatting sqref="AE8">
    <cfRule type="expression" priority="206" dxfId="0">
      <formula>=AND(AE4&gt;=D8,AE4&lt;=E8,D8&lt;&gt;"")</formula>
    </cfRule>
  </conditionalFormatting>
  <conditionalFormatting sqref="AF8">
    <cfRule type="expression" priority="207" dxfId="0">
      <formula>=AND(AF4&gt;=D8,AF4&lt;=E8,D8&lt;&gt;"")</formula>
    </cfRule>
  </conditionalFormatting>
  <conditionalFormatting sqref="AG8">
    <cfRule type="expression" priority="208" dxfId="0">
      <formula>=AND(AG4&gt;=D8,AG4&lt;=E8,D8&lt;&gt;"")</formula>
    </cfRule>
  </conditionalFormatting>
  <conditionalFormatting sqref="AH8">
    <cfRule type="expression" priority="209" dxfId="0">
      <formula>=AND(AH4&gt;=D8,AH4&lt;=E8,D8&lt;&gt;"")</formula>
    </cfRule>
  </conditionalFormatting>
  <conditionalFormatting sqref="AI8">
    <cfRule type="expression" priority="210" dxfId="0">
      <formula>=AND(AI4&gt;=D8,AI4&lt;=E8,D8&lt;&gt;"")</formula>
    </cfRule>
  </conditionalFormatting>
  <conditionalFormatting sqref="AJ8">
    <cfRule type="expression" priority="211" dxfId="0">
      <formula>=AND(AJ4&gt;=D8,AJ4&lt;=E8,D8&lt;&gt;"")</formula>
    </cfRule>
  </conditionalFormatting>
  <conditionalFormatting sqref="AK8">
    <cfRule type="expression" priority="212" dxfId="0">
      <formula>=AND(AK4&gt;=D8,AK4&lt;=E8,D8&lt;&gt;"")</formula>
    </cfRule>
  </conditionalFormatting>
  <conditionalFormatting sqref="AL8">
    <cfRule type="expression" priority="213" dxfId="0">
      <formula>=AND(AL4&gt;=D8,AL4&lt;=E8,D8&lt;&gt;"")</formula>
    </cfRule>
  </conditionalFormatting>
  <conditionalFormatting sqref="AM8">
    <cfRule type="expression" priority="214" dxfId="0">
      <formula>=AND(AM4&gt;=D8,AM4&lt;=E8,D8&lt;&gt;"")</formula>
    </cfRule>
  </conditionalFormatting>
  <conditionalFormatting sqref="AN8">
    <cfRule type="expression" priority="215" dxfId="0">
      <formula>=AND(AN4&gt;=D8,AN4&lt;=E8,D8&lt;&gt;"")</formula>
    </cfRule>
  </conditionalFormatting>
  <conditionalFormatting sqref="AO8">
    <cfRule type="expression" priority="216" dxfId="0">
      <formula>=AND(AO4&gt;=D8,AO4&lt;=E8,D8&lt;&gt;"")</formula>
    </cfRule>
  </conditionalFormatting>
  <conditionalFormatting sqref="AP8">
    <cfRule type="expression" priority="217" dxfId="0">
      <formula>=AND(AP4&gt;=D8,AP4&lt;=E8,D8&lt;&gt;"")</formula>
    </cfRule>
  </conditionalFormatting>
  <conditionalFormatting sqref="AQ8">
    <cfRule type="expression" priority="218" dxfId="0">
      <formula>=AND(AQ4&gt;=D8,AQ4&lt;=E8,D8&lt;&gt;"")</formula>
    </cfRule>
  </conditionalFormatting>
  <conditionalFormatting sqref="AR8">
    <cfRule type="expression" priority="219" dxfId="0">
      <formula>=AND(AR4&gt;=D8,AR4&lt;=E8,D8&lt;&gt;"")</formula>
    </cfRule>
  </conditionalFormatting>
  <conditionalFormatting sqref="AS8">
    <cfRule type="expression" priority="220" dxfId="0">
      <formula>=AND(AS4&gt;=D8,AS4&lt;=E8,D8&lt;&gt;"")</formula>
    </cfRule>
  </conditionalFormatting>
  <conditionalFormatting sqref="AT8">
    <cfRule type="expression" priority="221" dxfId="0">
      <formula>=AND(AT4&gt;=D8,AT4&lt;=E8,D8&lt;&gt;"")</formula>
    </cfRule>
  </conditionalFormatting>
  <conditionalFormatting sqref="AU8">
    <cfRule type="expression" priority="222" dxfId="0">
      <formula>=AND(AU4&gt;=D8,AU4&lt;=E8,D8&lt;&gt;"")</formula>
    </cfRule>
  </conditionalFormatting>
  <conditionalFormatting sqref="AV8">
    <cfRule type="expression" priority="223" dxfId="0">
      <formula>=AND(AV4&gt;=D8,AV4&lt;=E8,D8&lt;&gt;"")</formula>
    </cfRule>
  </conditionalFormatting>
  <conditionalFormatting sqref="AW8">
    <cfRule type="expression" priority="224" dxfId="0">
      <formula>=AND(AW4&gt;=D8,AW4&lt;=E8,D8&lt;&gt;"")</formula>
    </cfRule>
  </conditionalFormatting>
  <conditionalFormatting sqref="AX8">
    <cfRule type="expression" priority="225" dxfId="0">
      <formula>=AND(AX4&gt;=D8,AX4&lt;=E8,D8&lt;&gt;"")</formula>
    </cfRule>
  </conditionalFormatting>
  <conditionalFormatting sqref="AY8">
    <cfRule type="expression" priority="226" dxfId="0">
      <formula>=AND(AY4&gt;=D8,AY4&lt;=E8,D8&lt;&gt;"")</formula>
    </cfRule>
  </conditionalFormatting>
  <conditionalFormatting sqref="AZ8">
    <cfRule type="expression" priority="227" dxfId="0">
      <formula>=AND(AZ4&gt;=D8,AZ4&lt;=E8,D8&lt;&gt;"")</formula>
    </cfRule>
  </conditionalFormatting>
  <conditionalFormatting sqref="BA8">
    <cfRule type="expression" priority="228" dxfId="0">
      <formula>=AND(BA4&gt;=D8,BA4&lt;=E8,D8&lt;&gt;"")</formula>
    </cfRule>
  </conditionalFormatting>
  <conditionalFormatting sqref="BB8">
    <cfRule type="expression" priority="229" dxfId="0">
      <formula>=AND(BB4&gt;=D8,BB4&lt;=E8,D8&lt;&gt;"")</formula>
    </cfRule>
  </conditionalFormatting>
  <conditionalFormatting sqref="BC8">
    <cfRule type="expression" priority="230" dxfId="0">
      <formula>=AND(BC4&gt;=D8,BC4&lt;=E8,D8&lt;&gt;"")</formula>
    </cfRule>
  </conditionalFormatting>
  <conditionalFormatting sqref="BD8">
    <cfRule type="expression" priority="231" dxfId="0">
      <formula>=AND(BD4&gt;=D8,BD4&lt;=E8,D8&lt;&gt;"")</formula>
    </cfRule>
  </conditionalFormatting>
  <conditionalFormatting sqref="BE8">
    <cfRule type="expression" priority="232" dxfId="0">
      <formula>=AND(BE4&gt;=D8,BE4&lt;=E8,D8&lt;&gt;"")</formula>
    </cfRule>
  </conditionalFormatting>
  <conditionalFormatting sqref="BF8">
    <cfRule type="expression" priority="233" dxfId="0">
      <formula>=AND(BF4&gt;=D8,BF4&lt;=E8,D8&lt;&gt;"")</formula>
    </cfRule>
  </conditionalFormatting>
  <conditionalFormatting sqref="BG8">
    <cfRule type="expression" priority="234" dxfId="0">
      <formula>=AND(BG4&gt;=D8,BG4&lt;=E8,D8&lt;&gt;"")</formula>
    </cfRule>
  </conditionalFormatting>
  <conditionalFormatting sqref="BH8">
    <cfRule type="expression" priority="235" dxfId="0">
      <formula>=AND(BH4&gt;=D8,BH4&lt;=E8,D8&lt;&gt;"")</formula>
    </cfRule>
  </conditionalFormatting>
  <conditionalFormatting sqref="BI8">
    <cfRule type="expression" priority="236" dxfId="0">
      <formula>=AND(BI4&gt;=D8,BI4&lt;=E8,D8&lt;&gt;"")</formula>
    </cfRule>
  </conditionalFormatting>
  <conditionalFormatting sqref="BJ8">
    <cfRule type="expression" priority="237" dxfId="0">
      <formula>=AND(BJ4&gt;=D8,BJ4&lt;=E8,D8&lt;&gt;"")</formula>
    </cfRule>
  </conditionalFormatting>
  <conditionalFormatting sqref="BK8">
    <cfRule type="expression" priority="238" dxfId="0">
      <formula>=AND(BK4&gt;=D8,BK4&lt;=E8,D8&lt;&gt;"")</formula>
    </cfRule>
  </conditionalFormatting>
  <conditionalFormatting sqref="BL8">
    <cfRule type="expression" priority="239" dxfId="0">
      <formula>=AND(BL4&gt;=D8,BL4&lt;=E8,D8&lt;&gt;"")</formula>
    </cfRule>
  </conditionalFormatting>
  <conditionalFormatting sqref="BM8">
    <cfRule type="expression" priority="240" dxfId="0">
      <formula>=AND(BM4&gt;=D8,BM4&lt;=E8,D8&lt;&gt;"")</formula>
    </cfRule>
  </conditionalFormatting>
  <conditionalFormatting sqref="F9">
    <cfRule type="expression" priority="241" dxfId="0">
      <formula>=AND(F4&gt;=D9,F4&lt;=E9,D9&lt;&gt;"")</formula>
    </cfRule>
  </conditionalFormatting>
  <conditionalFormatting sqref="G9">
    <cfRule type="expression" priority="242" dxfId="0">
      <formula>=AND(G4&gt;=D9,G4&lt;=E9,D9&lt;&gt;"")</formula>
    </cfRule>
  </conditionalFormatting>
  <conditionalFormatting sqref="H9">
    <cfRule type="expression" priority="243" dxfId="0">
      <formula>=AND(H4&gt;=D9,H4&lt;=E9,D9&lt;&gt;"")</formula>
    </cfRule>
  </conditionalFormatting>
  <conditionalFormatting sqref="I9">
    <cfRule type="expression" priority="244" dxfId="0">
      <formula>=AND(I4&gt;=D9,I4&lt;=E9,D9&lt;&gt;"")</formula>
    </cfRule>
  </conditionalFormatting>
  <conditionalFormatting sqref="J9">
    <cfRule type="expression" priority="245" dxfId="0">
      <formula>=AND(J4&gt;=D9,J4&lt;=E9,D9&lt;&gt;"")</formula>
    </cfRule>
  </conditionalFormatting>
  <conditionalFormatting sqref="K9">
    <cfRule type="expression" priority="246" dxfId="0">
      <formula>=AND(K4&gt;=D9,K4&lt;=E9,D9&lt;&gt;"")</formula>
    </cfRule>
  </conditionalFormatting>
  <conditionalFormatting sqref="L9">
    <cfRule type="expression" priority="247" dxfId="0">
      <formula>=AND(L4&gt;=D9,L4&lt;=E9,D9&lt;&gt;"")</formula>
    </cfRule>
  </conditionalFormatting>
  <conditionalFormatting sqref="M9">
    <cfRule type="expression" priority="248" dxfId="0">
      <formula>=AND(M4&gt;=D9,M4&lt;=E9,D9&lt;&gt;"")</formula>
    </cfRule>
  </conditionalFormatting>
  <conditionalFormatting sqref="N9">
    <cfRule type="expression" priority="249" dxfId="0">
      <formula>=AND(N4&gt;=D9,N4&lt;=E9,D9&lt;&gt;"")</formula>
    </cfRule>
  </conditionalFormatting>
  <conditionalFormatting sqref="O9">
    <cfRule type="expression" priority="250" dxfId="0">
      <formula>=AND(O4&gt;=D9,O4&lt;=E9,D9&lt;&gt;"")</formula>
    </cfRule>
  </conditionalFormatting>
  <conditionalFormatting sqref="P9">
    <cfRule type="expression" priority="251" dxfId="0">
      <formula>=AND(P4&gt;=D9,P4&lt;=E9,D9&lt;&gt;"")</formula>
    </cfRule>
  </conditionalFormatting>
  <conditionalFormatting sqref="Q9">
    <cfRule type="expression" priority="252" dxfId="0">
      <formula>=AND(Q4&gt;=D9,Q4&lt;=E9,D9&lt;&gt;"")</formula>
    </cfRule>
  </conditionalFormatting>
  <conditionalFormatting sqref="R9">
    <cfRule type="expression" priority="253" dxfId="0">
      <formula>=AND(R4&gt;=D9,R4&lt;=E9,D9&lt;&gt;"")</formula>
    </cfRule>
  </conditionalFormatting>
  <conditionalFormatting sqref="S9">
    <cfRule type="expression" priority="254" dxfId="0">
      <formula>=AND(S4&gt;=D9,S4&lt;=E9,D9&lt;&gt;"")</formula>
    </cfRule>
  </conditionalFormatting>
  <conditionalFormatting sqref="T9">
    <cfRule type="expression" priority="255" dxfId="0">
      <formula>=AND(T4&gt;=D9,T4&lt;=E9,D9&lt;&gt;"")</formula>
    </cfRule>
  </conditionalFormatting>
  <conditionalFormatting sqref="U9">
    <cfRule type="expression" priority="256" dxfId="0">
      <formula>=AND(U4&gt;=D9,U4&lt;=E9,D9&lt;&gt;"")</formula>
    </cfRule>
  </conditionalFormatting>
  <conditionalFormatting sqref="V9">
    <cfRule type="expression" priority="257" dxfId="0">
      <formula>=AND(V4&gt;=D9,V4&lt;=E9,D9&lt;&gt;"")</formula>
    </cfRule>
  </conditionalFormatting>
  <conditionalFormatting sqref="W9">
    <cfRule type="expression" priority="258" dxfId="0">
      <formula>=AND(W4&gt;=D9,W4&lt;=E9,D9&lt;&gt;"")</formula>
    </cfRule>
  </conditionalFormatting>
  <conditionalFormatting sqref="X9">
    <cfRule type="expression" priority="259" dxfId="0">
      <formula>=AND(X4&gt;=D9,X4&lt;=E9,D9&lt;&gt;"")</formula>
    </cfRule>
  </conditionalFormatting>
  <conditionalFormatting sqref="Y9">
    <cfRule type="expression" priority="260" dxfId="0">
      <formula>=AND(Y4&gt;=D9,Y4&lt;=E9,D9&lt;&gt;"")</formula>
    </cfRule>
  </conditionalFormatting>
  <conditionalFormatting sqref="Z9">
    <cfRule type="expression" priority="261" dxfId="0">
      <formula>=AND(Z4&gt;=D9,Z4&lt;=E9,D9&lt;&gt;"")</formula>
    </cfRule>
  </conditionalFormatting>
  <conditionalFormatting sqref="AA9">
    <cfRule type="expression" priority="262" dxfId="0">
      <formula>=AND(AA4&gt;=D9,AA4&lt;=E9,D9&lt;&gt;"")</formula>
    </cfRule>
  </conditionalFormatting>
  <conditionalFormatting sqref="AB9">
    <cfRule type="expression" priority="263" dxfId="0">
      <formula>=AND(AB4&gt;=D9,AB4&lt;=E9,D9&lt;&gt;"")</formula>
    </cfRule>
  </conditionalFormatting>
  <conditionalFormatting sqref="AC9">
    <cfRule type="expression" priority="264" dxfId="0">
      <formula>=AND(AC4&gt;=D9,AC4&lt;=E9,D9&lt;&gt;"")</formula>
    </cfRule>
  </conditionalFormatting>
  <conditionalFormatting sqref="AD9">
    <cfRule type="expression" priority="265" dxfId="0">
      <formula>=AND(AD4&gt;=D9,AD4&lt;=E9,D9&lt;&gt;"")</formula>
    </cfRule>
  </conditionalFormatting>
  <conditionalFormatting sqref="AE9">
    <cfRule type="expression" priority="266" dxfId="0">
      <formula>=AND(AE4&gt;=D9,AE4&lt;=E9,D9&lt;&gt;"")</formula>
    </cfRule>
  </conditionalFormatting>
  <conditionalFormatting sqref="AF9">
    <cfRule type="expression" priority="267" dxfId="0">
      <formula>=AND(AF4&gt;=D9,AF4&lt;=E9,D9&lt;&gt;"")</formula>
    </cfRule>
  </conditionalFormatting>
  <conditionalFormatting sqref="AG9">
    <cfRule type="expression" priority="268" dxfId="0">
      <formula>=AND(AG4&gt;=D9,AG4&lt;=E9,D9&lt;&gt;"")</formula>
    </cfRule>
  </conditionalFormatting>
  <conditionalFormatting sqref="AH9">
    <cfRule type="expression" priority="269" dxfId="0">
      <formula>=AND(AH4&gt;=D9,AH4&lt;=E9,D9&lt;&gt;"")</formula>
    </cfRule>
  </conditionalFormatting>
  <conditionalFormatting sqref="AI9">
    <cfRule type="expression" priority="270" dxfId="0">
      <formula>=AND(AI4&gt;=D9,AI4&lt;=E9,D9&lt;&gt;"")</formula>
    </cfRule>
  </conditionalFormatting>
  <conditionalFormatting sqref="AJ9">
    <cfRule type="expression" priority="271" dxfId="0">
      <formula>=AND(AJ4&gt;=D9,AJ4&lt;=E9,D9&lt;&gt;"")</formula>
    </cfRule>
  </conditionalFormatting>
  <conditionalFormatting sqref="AK9">
    <cfRule type="expression" priority="272" dxfId="0">
      <formula>=AND(AK4&gt;=D9,AK4&lt;=E9,D9&lt;&gt;"")</formula>
    </cfRule>
  </conditionalFormatting>
  <conditionalFormatting sqref="AL9">
    <cfRule type="expression" priority="273" dxfId="0">
      <formula>=AND(AL4&gt;=D9,AL4&lt;=E9,D9&lt;&gt;"")</formula>
    </cfRule>
  </conditionalFormatting>
  <conditionalFormatting sqref="AM9">
    <cfRule type="expression" priority="274" dxfId="0">
      <formula>=AND(AM4&gt;=D9,AM4&lt;=E9,D9&lt;&gt;"")</formula>
    </cfRule>
  </conditionalFormatting>
  <conditionalFormatting sqref="AN9">
    <cfRule type="expression" priority="275" dxfId="0">
      <formula>=AND(AN4&gt;=D9,AN4&lt;=E9,D9&lt;&gt;"")</formula>
    </cfRule>
  </conditionalFormatting>
  <conditionalFormatting sqref="AO9">
    <cfRule type="expression" priority="276" dxfId="0">
      <formula>=AND(AO4&gt;=D9,AO4&lt;=E9,D9&lt;&gt;"")</formula>
    </cfRule>
  </conditionalFormatting>
  <conditionalFormatting sqref="AP9">
    <cfRule type="expression" priority="277" dxfId="0">
      <formula>=AND(AP4&gt;=D9,AP4&lt;=E9,D9&lt;&gt;"")</formula>
    </cfRule>
  </conditionalFormatting>
  <conditionalFormatting sqref="AQ9">
    <cfRule type="expression" priority="278" dxfId="0">
      <formula>=AND(AQ4&gt;=D9,AQ4&lt;=E9,D9&lt;&gt;"")</formula>
    </cfRule>
  </conditionalFormatting>
  <conditionalFormatting sqref="AR9">
    <cfRule type="expression" priority="279" dxfId="0">
      <formula>=AND(AR4&gt;=D9,AR4&lt;=E9,D9&lt;&gt;"")</formula>
    </cfRule>
  </conditionalFormatting>
  <conditionalFormatting sqref="AS9">
    <cfRule type="expression" priority="280" dxfId="0">
      <formula>=AND(AS4&gt;=D9,AS4&lt;=E9,D9&lt;&gt;"")</formula>
    </cfRule>
  </conditionalFormatting>
  <conditionalFormatting sqref="AT9">
    <cfRule type="expression" priority="281" dxfId="0">
      <formula>=AND(AT4&gt;=D9,AT4&lt;=E9,D9&lt;&gt;"")</formula>
    </cfRule>
  </conditionalFormatting>
  <conditionalFormatting sqref="AU9">
    <cfRule type="expression" priority="282" dxfId="0">
      <formula>=AND(AU4&gt;=D9,AU4&lt;=E9,D9&lt;&gt;"")</formula>
    </cfRule>
  </conditionalFormatting>
  <conditionalFormatting sqref="AV9">
    <cfRule type="expression" priority="283" dxfId="0">
      <formula>=AND(AV4&gt;=D9,AV4&lt;=E9,D9&lt;&gt;"")</formula>
    </cfRule>
  </conditionalFormatting>
  <conditionalFormatting sqref="AW9">
    <cfRule type="expression" priority="284" dxfId="0">
      <formula>=AND(AW4&gt;=D9,AW4&lt;=E9,D9&lt;&gt;"")</formula>
    </cfRule>
  </conditionalFormatting>
  <conditionalFormatting sqref="AX9">
    <cfRule type="expression" priority="285" dxfId="0">
      <formula>=AND(AX4&gt;=D9,AX4&lt;=E9,D9&lt;&gt;"")</formula>
    </cfRule>
  </conditionalFormatting>
  <conditionalFormatting sqref="AY9">
    <cfRule type="expression" priority="286" dxfId="0">
      <formula>=AND(AY4&gt;=D9,AY4&lt;=E9,D9&lt;&gt;"")</formula>
    </cfRule>
  </conditionalFormatting>
  <conditionalFormatting sqref="AZ9">
    <cfRule type="expression" priority="287" dxfId="0">
      <formula>=AND(AZ4&gt;=D9,AZ4&lt;=E9,D9&lt;&gt;"")</formula>
    </cfRule>
  </conditionalFormatting>
  <conditionalFormatting sqref="BA9">
    <cfRule type="expression" priority="288" dxfId="0">
      <formula>=AND(BA4&gt;=D9,BA4&lt;=E9,D9&lt;&gt;"")</formula>
    </cfRule>
  </conditionalFormatting>
  <conditionalFormatting sqref="BB9">
    <cfRule type="expression" priority="289" dxfId="0">
      <formula>=AND(BB4&gt;=D9,BB4&lt;=E9,D9&lt;&gt;"")</formula>
    </cfRule>
  </conditionalFormatting>
  <conditionalFormatting sqref="BC9">
    <cfRule type="expression" priority="290" dxfId="0">
      <formula>=AND(BC4&gt;=D9,BC4&lt;=E9,D9&lt;&gt;"")</formula>
    </cfRule>
  </conditionalFormatting>
  <conditionalFormatting sqref="BD9">
    <cfRule type="expression" priority="291" dxfId="0">
      <formula>=AND(BD4&gt;=D9,BD4&lt;=E9,D9&lt;&gt;"")</formula>
    </cfRule>
  </conditionalFormatting>
  <conditionalFormatting sqref="BE9">
    <cfRule type="expression" priority="292" dxfId="0">
      <formula>=AND(BE4&gt;=D9,BE4&lt;=E9,D9&lt;&gt;"")</formula>
    </cfRule>
  </conditionalFormatting>
  <conditionalFormatting sqref="BF9">
    <cfRule type="expression" priority="293" dxfId="0">
      <formula>=AND(BF4&gt;=D9,BF4&lt;=E9,D9&lt;&gt;"")</formula>
    </cfRule>
  </conditionalFormatting>
  <conditionalFormatting sqref="BG9">
    <cfRule type="expression" priority="294" dxfId="0">
      <formula>=AND(BG4&gt;=D9,BG4&lt;=E9,D9&lt;&gt;"")</formula>
    </cfRule>
  </conditionalFormatting>
  <conditionalFormatting sqref="BH9">
    <cfRule type="expression" priority="295" dxfId="0">
      <formula>=AND(BH4&gt;=D9,BH4&lt;=E9,D9&lt;&gt;"")</formula>
    </cfRule>
  </conditionalFormatting>
  <conditionalFormatting sqref="BI9">
    <cfRule type="expression" priority="296" dxfId="0">
      <formula>=AND(BI4&gt;=D9,BI4&lt;=E9,D9&lt;&gt;"")</formula>
    </cfRule>
  </conditionalFormatting>
  <conditionalFormatting sqref="BJ9">
    <cfRule type="expression" priority="297" dxfId="0">
      <formula>=AND(BJ4&gt;=D9,BJ4&lt;=E9,D9&lt;&gt;"")</formula>
    </cfRule>
  </conditionalFormatting>
  <conditionalFormatting sqref="BK9">
    <cfRule type="expression" priority="298" dxfId="0">
      <formula>=AND(BK4&gt;=D9,BK4&lt;=E9,D9&lt;&gt;"")</formula>
    </cfRule>
  </conditionalFormatting>
  <conditionalFormatting sqref="BL9">
    <cfRule type="expression" priority="299" dxfId="0">
      <formula>=AND(BL4&gt;=D9,BL4&lt;=E9,D9&lt;&gt;"")</formula>
    </cfRule>
  </conditionalFormatting>
  <conditionalFormatting sqref="BM9">
    <cfRule type="expression" priority="300" dxfId="0">
      <formula>=AND(BM4&gt;=D9,BM4&lt;=E9,D9&lt;&gt;"")</formula>
    </cfRule>
  </conditionalFormatting>
  <conditionalFormatting sqref="F10">
    <cfRule type="expression" priority="301" dxfId="0">
      <formula>=AND(F4&gt;=D10,F4&lt;=E10,D10&lt;&gt;"")</formula>
    </cfRule>
  </conditionalFormatting>
  <conditionalFormatting sqref="G10">
    <cfRule type="expression" priority="302" dxfId="0">
      <formula>=AND(G4&gt;=D10,G4&lt;=E10,D10&lt;&gt;"")</formula>
    </cfRule>
  </conditionalFormatting>
  <conditionalFormatting sqref="H10">
    <cfRule type="expression" priority="303" dxfId="0">
      <formula>=AND(H4&gt;=D10,H4&lt;=E10,D10&lt;&gt;"")</formula>
    </cfRule>
  </conditionalFormatting>
  <conditionalFormatting sqref="I10">
    <cfRule type="expression" priority="304" dxfId="0">
      <formula>=AND(I4&gt;=D10,I4&lt;=E10,D10&lt;&gt;"")</formula>
    </cfRule>
  </conditionalFormatting>
  <conditionalFormatting sqref="J10">
    <cfRule type="expression" priority="305" dxfId="0">
      <formula>=AND(J4&gt;=D10,J4&lt;=E10,D10&lt;&gt;"")</formula>
    </cfRule>
  </conditionalFormatting>
  <conditionalFormatting sqref="K10">
    <cfRule type="expression" priority="306" dxfId="0">
      <formula>=AND(K4&gt;=D10,K4&lt;=E10,D10&lt;&gt;"")</formula>
    </cfRule>
  </conditionalFormatting>
  <conditionalFormatting sqref="L10">
    <cfRule type="expression" priority="307" dxfId="0">
      <formula>=AND(L4&gt;=D10,L4&lt;=E10,D10&lt;&gt;"")</formula>
    </cfRule>
  </conditionalFormatting>
  <conditionalFormatting sqref="M10">
    <cfRule type="expression" priority="308" dxfId="0">
      <formula>=AND(M4&gt;=D10,M4&lt;=E10,D10&lt;&gt;"")</formula>
    </cfRule>
  </conditionalFormatting>
  <conditionalFormatting sqref="N10">
    <cfRule type="expression" priority="309" dxfId="0">
      <formula>=AND(N4&gt;=D10,N4&lt;=E10,D10&lt;&gt;"")</formula>
    </cfRule>
  </conditionalFormatting>
  <conditionalFormatting sqref="O10">
    <cfRule type="expression" priority="310" dxfId="0">
      <formula>=AND(O4&gt;=D10,O4&lt;=E10,D10&lt;&gt;"")</formula>
    </cfRule>
  </conditionalFormatting>
  <conditionalFormatting sqref="P10">
    <cfRule type="expression" priority="311" dxfId="0">
      <formula>=AND(P4&gt;=D10,P4&lt;=E10,D10&lt;&gt;"")</formula>
    </cfRule>
  </conditionalFormatting>
  <conditionalFormatting sqref="Q10">
    <cfRule type="expression" priority="312" dxfId="0">
      <formula>=AND(Q4&gt;=D10,Q4&lt;=E10,D10&lt;&gt;"")</formula>
    </cfRule>
  </conditionalFormatting>
  <conditionalFormatting sqref="R10">
    <cfRule type="expression" priority="313" dxfId="0">
      <formula>=AND(R4&gt;=D10,R4&lt;=E10,D10&lt;&gt;"")</formula>
    </cfRule>
  </conditionalFormatting>
  <conditionalFormatting sqref="S10">
    <cfRule type="expression" priority="314" dxfId="0">
      <formula>=AND(S4&gt;=D10,S4&lt;=E10,D10&lt;&gt;"")</formula>
    </cfRule>
  </conditionalFormatting>
  <conditionalFormatting sqref="T10">
    <cfRule type="expression" priority="315" dxfId="0">
      <formula>=AND(T4&gt;=D10,T4&lt;=E10,D10&lt;&gt;"")</formula>
    </cfRule>
  </conditionalFormatting>
  <conditionalFormatting sqref="U10">
    <cfRule type="expression" priority="316" dxfId="0">
      <formula>=AND(U4&gt;=D10,U4&lt;=E10,D10&lt;&gt;"")</formula>
    </cfRule>
  </conditionalFormatting>
  <conditionalFormatting sqref="V10">
    <cfRule type="expression" priority="317" dxfId="0">
      <formula>=AND(V4&gt;=D10,V4&lt;=E10,D10&lt;&gt;"")</formula>
    </cfRule>
  </conditionalFormatting>
  <conditionalFormatting sqref="W10">
    <cfRule type="expression" priority="318" dxfId="0">
      <formula>=AND(W4&gt;=D10,W4&lt;=E10,D10&lt;&gt;"")</formula>
    </cfRule>
  </conditionalFormatting>
  <conditionalFormatting sqref="X10">
    <cfRule type="expression" priority="319" dxfId="0">
      <formula>=AND(X4&gt;=D10,X4&lt;=E10,D10&lt;&gt;"")</formula>
    </cfRule>
  </conditionalFormatting>
  <conditionalFormatting sqref="Y10">
    <cfRule type="expression" priority="320" dxfId="0">
      <formula>=AND(Y4&gt;=D10,Y4&lt;=E10,D10&lt;&gt;"")</formula>
    </cfRule>
  </conditionalFormatting>
  <conditionalFormatting sqref="Z10">
    <cfRule type="expression" priority="321" dxfId="0">
      <formula>=AND(Z4&gt;=D10,Z4&lt;=E10,D10&lt;&gt;"")</formula>
    </cfRule>
  </conditionalFormatting>
  <conditionalFormatting sqref="AA10">
    <cfRule type="expression" priority="322" dxfId="0">
      <formula>=AND(AA4&gt;=D10,AA4&lt;=E10,D10&lt;&gt;"")</formula>
    </cfRule>
  </conditionalFormatting>
  <conditionalFormatting sqref="AB10">
    <cfRule type="expression" priority="323" dxfId="0">
      <formula>=AND(AB4&gt;=D10,AB4&lt;=E10,D10&lt;&gt;"")</formula>
    </cfRule>
  </conditionalFormatting>
  <conditionalFormatting sqref="AC10">
    <cfRule type="expression" priority="324" dxfId="0">
      <formula>=AND(AC4&gt;=D10,AC4&lt;=E10,D10&lt;&gt;"")</formula>
    </cfRule>
  </conditionalFormatting>
  <conditionalFormatting sqref="AD10">
    <cfRule type="expression" priority="325" dxfId="0">
      <formula>=AND(AD4&gt;=D10,AD4&lt;=E10,D10&lt;&gt;"")</formula>
    </cfRule>
  </conditionalFormatting>
  <conditionalFormatting sqref="AE10">
    <cfRule type="expression" priority="326" dxfId="0">
      <formula>=AND(AE4&gt;=D10,AE4&lt;=E10,D10&lt;&gt;"")</formula>
    </cfRule>
  </conditionalFormatting>
  <conditionalFormatting sqref="AF10">
    <cfRule type="expression" priority="327" dxfId="0">
      <formula>=AND(AF4&gt;=D10,AF4&lt;=E10,D10&lt;&gt;"")</formula>
    </cfRule>
  </conditionalFormatting>
  <conditionalFormatting sqref="AG10">
    <cfRule type="expression" priority="328" dxfId="0">
      <formula>=AND(AG4&gt;=D10,AG4&lt;=E10,D10&lt;&gt;"")</formula>
    </cfRule>
  </conditionalFormatting>
  <conditionalFormatting sqref="AH10">
    <cfRule type="expression" priority="329" dxfId="0">
      <formula>=AND(AH4&gt;=D10,AH4&lt;=E10,D10&lt;&gt;"")</formula>
    </cfRule>
  </conditionalFormatting>
  <conditionalFormatting sqref="AI10">
    <cfRule type="expression" priority="330" dxfId="0">
      <formula>=AND(AI4&gt;=D10,AI4&lt;=E10,D10&lt;&gt;"")</formula>
    </cfRule>
  </conditionalFormatting>
  <conditionalFormatting sqref="AJ10">
    <cfRule type="expression" priority="331" dxfId="0">
      <formula>=AND(AJ4&gt;=D10,AJ4&lt;=E10,D10&lt;&gt;"")</formula>
    </cfRule>
  </conditionalFormatting>
  <conditionalFormatting sqref="AK10">
    <cfRule type="expression" priority="332" dxfId="0">
      <formula>=AND(AK4&gt;=D10,AK4&lt;=E10,D10&lt;&gt;"")</formula>
    </cfRule>
  </conditionalFormatting>
  <conditionalFormatting sqref="AL10">
    <cfRule type="expression" priority="333" dxfId="0">
      <formula>=AND(AL4&gt;=D10,AL4&lt;=E10,D10&lt;&gt;"")</formula>
    </cfRule>
  </conditionalFormatting>
  <conditionalFormatting sqref="AM10">
    <cfRule type="expression" priority="334" dxfId="0">
      <formula>=AND(AM4&gt;=D10,AM4&lt;=E10,D10&lt;&gt;"")</formula>
    </cfRule>
  </conditionalFormatting>
  <conditionalFormatting sqref="AN10">
    <cfRule type="expression" priority="335" dxfId="0">
      <formula>=AND(AN4&gt;=D10,AN4&lt;=E10,D10&lt;&gt;"")</formula>
    </cfRule>
  </conditionalFormatting>
  <conditionalFormatting sqref="AO10">
    <cfRule type="expression" priority="336" dxfId="0">
      <formula>=AND(AO4&gt;=D10,AO4&lt;=E10,D10&lt;&gt;"")</formula>
    </cfRule>
  </conditionalFormatting>
  <conditionalFormatting sqref="AP10">
    <cfRule type="expression" priority="337" dxfId="0">
      <formula>=AND(AP4&gt;=D10,AP4&lt;=E10,D10&lt;&gt;"")</formula>
    </cfRule>
  </conditionalFormatting>
  <conditionalFormatting sqref="AQ10">
    <cfRule type="expression" priority="338" dxfId="0">
      <formula>=AND(AQ4&gt;=D10,AQ4&lt;=E10,D10&lt;&gt;"")</formula>
    </cfRule>
  </conditionalFormatting>
  <conditionalFormatting sqref="AR10">
    <cfRule type="expression" priority="339" dxfId="0">
      <formula>=AND(AR4&gt;=D10,AR4&lt;=E10,D10&lt;&gt;"")</formula>
    </cfRule>
  </conditionalFormatting>
  <conditionalFormatting sqref="AS10">
    <cfRule type="expression" priority="340" dxfId="0">
      <formula>=AND(AS4&gt;=D10,AS4&lt;=E10,D10&lt;&gt;"")</formula>
    </cfRule>
  </conditionalFormatting>
  <conditionalFormatting sqref="AT10">
    <cfRule type="expression" priority="341" dxfId="0">
      <formula>=AND(AT4&gt;=D10,AT4&lt;=E10,D10&lt;&gt;"")</formula>
    </cfRule>
  </conditionalFormatting>
  <conditionalFormatting sqref="AU10">
    <cfRule type="expression" priority="342" dxfId="0">
      <formula>=AND(AU4&gt;=D10,AU4&lt;=E10,D10&lt;&gt;"")</formula>
    </cfRule>
  </conditionalFormatting>
  <conditionalFormatting sqref="AV10">
    <cfRule type="expression" priority="343" dxfId="0">
      <formula>=AND(AV4&gt;=D10,AV4&lt;=E10,D10&lt;&gt;"")</formula>
    </cfRule>
  </conditionalFormatting>
  <conditionalFormatting sqref="AW10">
    <cfRule type="expression" priority="344" dxfId="0">
      <formula>=AND(AW4&gt;=D10,AW4&lt;=E10,D10&lt;&gt;"")</formula>
    </cfRule>
  </conditionalFormatting>
  <conditionalFormatting sqref="AX10">
    <cfRule type="expression" priority="345" dxfId="0">
      <formula>=AND(AX4&gt;=D10,AX4&lt;=E10,D10&lt;&gt;"")</formula>
    </cfRule>
  </conditionalFormatting>
  <conditionalFormatting sqref="AY10">
    <cfRule type="expression" priority="346" dxfId="0">
      <formula>=AND(AY4&gt;=D10,AY4&lt;=E10,D10&lt;&gt;"")</formula>
    </cfRule>
  </conditionalFormatting>
  <conditionalFormatting sqref="AZ10">
    <cfRule type="expression" priority="347" dxfId="0">
      <formula>=AND(AZ4&gt;=D10,AZ4&lt;=E10,D10&lt;&gt;"")</formula>
    </cfRule>
  </conditionalFormatting>
  <conditionalFormatting sqref="BA10">
    <cfRule type="expression" priority="348" dxfId="0">
      <formula>=AND(BA4&gt;=D10,BA4&lt;=E10,D10&lt;&gt;"")</formula>
    </cfRule>
  </conditionalFormatting>
  <conditionalFormatting sqref="BB10">
    <cfRule type="expression" priority="349" dxfId="0">
      <formula>=AND(BB4&gt;=D10,BB4&lt;=E10,D10&lt;&gt;"")</formula>
    </cfRule>
  </conditionalFormatting>
  <conditionalFormatting sqref="BC10">
    <cfRule type="expression" priority="350" dxfId="0">
      <formula>=AND(BC4&gt;=D10,BC4&lt;=E10,D10&lt;&gt;"")</formula>
    </cfRule>
  </conditionalFormatting>
  <conditionalFormatting sqref="BD10">
    <cfRule type="expression" priority="351" dxfId="0">
      <formula>=AND(BD4&gt;=D10,BD4&lt;=E10,D10&lt;&gt;"")</formula>
    </cfRule>
  </conditionalFormatting>
  <conditionalFormatting sqref="BE10">
    <cfRule type="expression" priority="352" dxfId="0">
      <formula>=AND(BE4&gt;=D10,BE4&lt;=E10,D10&lt;&gt;"")</formula>
    </cfRule>
  </conditionalFormatting>
  <conditionalFormatting sqref="BF10">
    <cfRule type="expression" priority="353" dxfId="0">
      <formula>=AND(BF4&gt;=D10,BF4&lt;=E10,D10&lt;&gt;"")</formula>
    </cfRule>
  </conditionalFormatting>
  <conditionalFormatting sqref="BG10">
    <cfRule type="expression" priority="354" dxfId="0">
      <formula>=AND(BG4&gt;=D10,BG4&lt;=E10,D10&lt;&gt;"")</formula>
    </cfRule>
  </conditionalFormatting>
  <conditionalFormatting sqref="BH10">
    <cfRule type="expression" priority="355" dxfId="0">
      <formula>=AND(BH4&gt;=D10,BH4&lt;=E10,D10&lt;&gt;"")</formula>
    </cfRule>
  </conditionalFormatting>
  <conditionalFormatting sqref="BI10">
    <cfRule type="expression" priority="356" dxfId="0">
      <formula>=AND(BI4&gt;=D10,BI4&lt;=E10,D10&lt;&gt;"")</formula>
    </cfRule>
  </conditionalFormatting>
  <conditionalFormatting sqref="BJ10">
    <cfRule type="expression" priority="357" dxfId="0">
      <formula>=AND(BJ4&gt;=D10,BJ4&lt;=E10,D10&lt;&gt;"")</formula>
    </cfRule>
  </conditionalFormatting>
  <conditionalFormatting sqref="BK10">
    <cfRule type="expression" priority="358" dxfId="0">
      <formula>=AND(BK4&gt;=D10,BK4&lt;=E10,D10&lt;&gt;"")</formula>
    </cfRule>
  </conditionalFormatting>
  <conditionalFormatting sqref="BL10">
    <cfRule type="expression" priority="359" dxfId="0">
      <formula>=AND(BL4&gt;=D10,BL4&lt;=E10,D10&lt;&gt;"")</formula>
    </cfRule>
  </conditionalFormatting>
  <conditionalFormatting sqref="BM10">
    <cfRule type="expression" priority="360" dxfId="0">
      <formula>=AND(BM4&gt;=D10,BM4&lt;=E10,D10&lt;&gt;"")</formula>
    </cfRule>
  </conditionalFormatting>
  <conditionalFormatting sqref="F11">
    <cfRule type="expression" priority="361" dxfId="0">
      <formula>=AND(F4&gt;=D11,F4&lt;=E11,D11&lt;&gt;"")</formula>
    </cfRule>
  </conditionalFormatting>
  <conditionalFormatting sqref="G11">
    <cfRule type="expression" priority="362" dxfId="0">
      <formula>=AND(G4&gt;=D11,G4&lt;=E11,D11&lt;&gt;"")</formula>
    </cfRule>
  </conditionalFormatting>
  <conditionalFormatting sqref="H11">
    <cfRule type="expression" priority="363" dxfId="0">
      <formula>=AND(H4&gt;=D11,H4&lt;=E11,D11&lt;&gt;"")</formula>
    </cfRule>
  </conditionalFormatting>
  <conditionalFormatting sqref="I11">
    <cfRule type="expression" priority="364" dxfId="0">
      <formula>=AND(I4&gt;=D11,I4&lt;=E11,D11&lt;&gt;"")</formula>
    </cfRule>
  </conditionalFormatting>
  <conditionalFormatting sqref="J11">
    <cfRule type="expression" priority="365" dxfId="0">
      <formula>=AND(J4&gt;=D11,J4&lt;=E11,D11&lt;&gt;"")</formula>
    </cfRule>
  </conditionalFormatting>
  <conditionalFormatting sqref="K11">
    <cfRule type="expression" priority="366" dxfId="0">
      <formula>=AND(K4&gt;=D11,K4&lt;=E11,D11&lt;&gt;"")</formula>
    </cfRule>
  </conditionalFormatting>
  <conditionalFormatting sqref="L11">
    <cfRule type="expression" priority="367" dxfId="0">
      <formula>=AND(L4&gt;=D11,L4&lt;=E11,D11&lt;&gt;"")</formula>
    </cfRule>
  </conditionalFormatting>
  <conditionalFormatting sqref="M11">
    <cfRule type="expression" priority="368" dxfId="0">
      <formula>=AND(M4&gt;=D11,M4&lt;=E11,D11&lt;&gt;"")</formula>
    </cfRule>
  </conditionalFormatting>
  <conditionalFormatting sqref="N11">
    <cfRule type="expression" priority="369" dxfId="0">
      <formula>=AND(N4&gt;=D11,N4&lt;=E11,D11&lt;&gt;"")</formula>
    </cfRule>
  </conditionalFormatting>
  <conditionalFormatting sqref="O11">
    <cfRule type="expression" priority="370" dxfId="0">
      <formula>=AND(O4&gt;=D11,O4&lt;=E11,D11&lt;&gt;"")</formula>
    </cfRule>
  </conditionalFormatting>
  <conditionalFormatting sqref="P11">
    <cfRule type="expression" priority="371" dxfId="0">
      <formula>=AND(P4&gt;=D11,P4&lt;=E11,D11&lt;&gt;"")</formula>
    </cfRule>
  </conditionalFormatting>
  <conditionalFormatting sqref="Q11">
    <cfRule type="expression" priority="372" dxfId="0">
      <formula>=AND(Q4&gt;=D11,Q4&lt;=E11,D11&lt;&gt;"")</formula>
    </cfRule>
  </conditionalFormatting>
  <conditionalFormatting sqref="R11">
    <cfRule type="expression" priority="373" dxfId="0">
      <formula>=AND(R4&gt;=D11,R4&lt;=E11,D11&lt;&gt;"")</formula>
    </cfRule>
  </conditionalFormatting>
  <conditionalFormatting sqref="S11">
    <cfRule type="expression" priority="374" dxfId="0">
      <formula>=AND(S4&gt;=D11,S4&lt;=E11,D11&lt;&gt;"")</formula>
    </cfRule>
  </conditionalFormatting>
  <conditionalFormatting sqref="T11">
    <cfRule type="expression" priority="375" dxfId="0">
      <formula>=AND(T4&gt;=D11,T4&lt;=E11,D11&lt;&gt;"")</formula>
    </cfRule>
  </conditionalFormatting>
  <conditionalFormatting sqref="U11">
    <cfRule type="expression" priority="376" dxfId="0">
      <formula>=AND(U4&gt;=D11,U4&lt;=E11,D11&lt;&gt;"")</formula>
    </cfRule>
  </conditionalFormatting>
  <conditionalFormatting sqref="V11">
    <cfRule type="expression" priority="377" dxfId="0">
      <formula>=AND(V4&gt;=D11,V4&lt;=E11,D11&lt;&gt;"")</formula>
    </cfRule>
  </conditionalFormatting>
  <conditionalFormatting sqref="W11">
    <cfRule type="expression" priority="378" dxfId="0">
      <formula>=AND(W4&gt;=D11,W4&lt;=E11,D11&lt;&gt;"")</formula>
    </cfRule>
  </conditionalFormatting>
  <conditionalFormatting sqref="X11">
    <cfRule type="expression" priority="379" dxfId="0">
      <formula>=AND(X4&gt;=D11,X4&lt;=E11,D11&lt;&gt;"")</formula>
    </cfRule>
  </conditionalFormatting>
  <conditionalFormatting sqref="Y11">
    <cfRule type="expression" priority="380" dxfId="0">
      <formula>=AND(Y4&gt;=D11,Y4&lt;=E11,D11&lt;&gt;"")</formula>
    </cfRule>
  </conditionalFormatting>
  <conditionalFormatting sqref="Z11">
    <cfRule type="expression" priority="381" dxfId="0">
      <formula>=AND(Z4&gt;=D11,Z4&lt;=E11,D11&lt;&gt;"")</formula>
    </cfRule>
  </conditionalFormatting>
  <conditionalFormatting sqref="AA11">
    <cfRule type="expression" priority="382" dxfId="0">
      <formula>=AND(AA4&gt;=D11,AA4&lt;=E11,D11&lt;&gt;"")</formula>
    </cfRule>
  </conditionalFormatting>
  <conditionalFormatting sqref="AB11">
    <cfRule type="expression" priority="383" dxfId="0">
      <formula>=AND(AB4&gt;=D11,AB4&lt;=E11,D11&lt;&gt;"")</formula>
    </cfRule>
  </conditionalFormatting>
  <conditionalFormatting sqref="AC11">
    <cfRule type="expression" priority="384" dxfId="0">
      <formula>=AND(AC4&gt;=D11,AC4&lt;=E11,D11&lt;&gt;"")</formula>
    </cfRule>
  </conditionalFormatting>
  <conditionalFormatting sqref="AD11">
    <cfRule type="expression" priority="385" dxfId="0">
      <formula>=AND(AD4&gt;=D11,AD4&lt;=E11,D11&lt;&gt;"")</formula>
    </cfRule>
  </conditionalFormatting>
  <conditionalFormatting sqref="AE11">
    <cfRule type="expression" priority="386" dxfId="0">
      <formula>=AND(AE4&gt;=D11,AE4&lt;=E11,D11&lt;&gt;"")</formula>
    </cfRule>
  </conditionalFormatting>
  <conditionalFormatting sqref="AF11">
    <cfRule type="expression" priority="387" dxfId="0">
      <formula>=AND(AF4&gt;=D11,AF4&lt;=E11,D11&lt;&gt;"")</formula>
    </cfRule>
  </conditionalFormatting>
  <conditionalFormatting sqref="AG11">
    <cfRule type="expression" priority="388" dxfId="0">
      <formula>=AND(AG4&gt;=D11,AG4&lt;=E11,D11&lt;&gt;"")</formula>
    </cfRule>
  </conditionalFormatting>
  <conditionalFormatting sqref="AH11">
    <cfRule type="expression" priority="389" dxfId="0">
      <formula>=AND(AH4&gt;=D11,AH4&lt;=E11,D11&lt;&gt;"")</formula>
    </cfRule>
  </conditionalFormatting>
  <conditionalFormatting sqref="AI11">
    <cfRule type="expression" priority="390" dxfId="0">
      <formula>=AND(AI4&gt;=D11,AI4&lt;=E11,D11&lt;&gt;"")</formula>
    </cfRule>
  </conditionalFormatting>
  <conditionalFormatting sqref="AJ11">
    <cfRule type="expression" priority="391" dxfId="0">
      <formula>=AND(AJ4&gt;=D11,AJ4&lt;=E11,D11&lt;&gt;"")</formula>
    </cfRule>
  </conditionalFormatting>
  <conditionalFormatting sqref="AK11">
    <cfRule type="expression" priority="392" dxfId="0">
      <formula>=AND(AK4&gt;=D11,AK4&lt;=E11,D11&lt;&gt;"")</formula>
    </cfRule>
  </conditionalFormatting>
  <conditionalFormatting sqref="AL11">
    <cfRule type="expression" priority="393" dxfId="0">
      <formula>=AND(AL4&gt;=D11,AL4&lt;=E11,D11&lt;&gt;"")</formula>
    </cfRule>
  </conditionalFormatting>
  <conditionalFormatting sqref="AM11">
    <cfRule type="expression" priority="394" dxfId="0">
      <formula>=AND(AM4&gt;=D11,AM4&lt;=E11,D11&lt;&gt;"")</formula>
    </cfRule>
  </conditionalFormatting>
  <conditionalFormatting sqref="AN11">
    <cfRule type="expression" priority="395" dxfId="0">
      <formula>=AND(AN4&gt;=D11,AN4&lt;=E11,D11&lt;&gt;"")</formula>
    </cfRule>
  </conditionalFormatting>
  <conditionalFormatting sqref="AO11">
    <cfRule type="expression" priority="396" dxfId="0">
      <formula>=AND(AO4&gt;=D11,AO4&lt;=E11,D11&lt;&gt;"")</formula>
    </cfRule>
  </conditionalFormatting>
  <conditionalFormatting sqref="AP11">
    <cfRule type="expression" priority="397" dxfId="0">
      <formula>=AND(AP4&gt;=D11,AP4&lt;=E11,D11&lt;&gt;"")</formula>
    </cfRule>
  </conditionalFormatting>
  <conditionalFormatting sqref="AQ11">
    <cfRule type="expression" priority="398" dxfId="0">
      <formula>=AND(AQ4&gt;=D11,AQ4&lt;=E11,D11&lt;&gt;"")</formula>
    </cfRule>
  </conditionalFormatting>
  <conditionalFormatting sqref="AR11">
    <cfRule type="expression" priority="399" dxfId="0">
      <formula>=AND(AR4&gt;=D11,AR4&lt;=E11,D11&lt;&gt;"")</formula>
    </cfRule>
  </conditionalFormatting>
  <conditionalFormatting sqref="AS11">
    <cfRule type="expression" priority="400" dxfId="0">
      <formula>=AND(AS4&gt;=D11,AS4&lt;=E11,D11&lt;&gt;"")</formula>
    </cfRule>
  </conditionalFormatting>
  <conditionalFormatting sqref="AT11">
    <cfRule type="expression" priority="401" dxfId="0">
      <formula>=AND(AT4&gt;=D11,AT4&lt;=E11,D11&lt;&gt;"")</formula>
    </cfRule>
  </conditionalFormatting>
  <conditionalFormatting sqref="AU11">
    <cfRule type="expression" priority="402" dxfId="0">
      <formula>=AND(AU4&gt;=D11,AU4&lt;=E11,D11&lt;&gt;"")</formula>
    </cfRule>
  </conditionalFormatting>
  <conditionalFormatting sqref="AV11">
    <cfRule type="expression" priority="403" dxfId="0">
      <formula>=AND(AV4&gt;=D11,AV4&lt;=E11,D11&lt;&gt;"")</formula>
    </cfRule>
  </conditionalFormatting>
  <conditionalFormatting sqref="AW11">
    <cfRule type="expression" priority="404" dxfId="0">
      <formula>=AND(AW4&gt;=D11,AW4&lt;=E11,D11&lt;&gt;"")</formula>
    </cfRule>
  </conditionalFormatting>
  <conditionalFormatting sqref="AX11">
    <cfRule type="expression" priority="405" dxfId="0">
      <formula>=AND(AX4&gt;=D11,AX4&lt;=E11,D11&lt;&gt;"")</formula>
    </cfRule>
  </conditionalFormatting>
  <conditionalFormatting sqref="AY11">
    <cfRule type="expression" priority="406" dxfId="0">
      <formula>=AND(AY4&gt;=D11,AY4&lt;=E11,D11&lt;&gt;"")</formula>
    </cfRule>
  </conditionalFormatting>
  <conditionalFormatting sqref="AZ11">
    <cfRule type="expression" priority="407" dxfId="0">
      <formula>=AND(AZ4&gt;=D11,AZ4&lt;=E11,D11&lt;&gt;"")</formula>
    </cfRule>
  </conditionalFormatting>
  <conditionalFormatting sqref="BA11">
    <cfRule type="expression" priority="408" dxfId="0">
      <formula>=AND(BA4&gt;=D11,BA4&lt;=E11,D11&lt;&gt;"")</formula>
    </cfRule>
  </conditionalFormatting>
  <conditionalFormatting sqref="BB11">
    <cfRule type="expression" priority="409" dxfId="0">
      <formula>=AND(BB4&gt;=D11,BB4&lt;=E11,D11&lt;&gt;"")</formula>
    </cfRule>
  </conditionalFormatting>
  <conditionalFormatting sqref="BC11">
    <cfRule type="expression" priority="410" dxfId="0">
      <formula>=AND(BC4&gt;=D11,BC4&lt;=E11,D11&lt;&gt;"")</formula>
    </cfRule>
  </conditionalFormatting>
  <conditionalFormatting sqref="BD11">
    <cfRule type="expression" priority="411" dxfId="0">
      <formula>=AND(BD4&gt;=D11,BD4&lt;=E11,D11&lt;&gt;"")</formula>
    </cfRule>
  </conditionalFormatting>
  <conditionalFormatting sqref="BE11">
    <cfRule type="expression" priority="412" dxfId="0">
      <formula>=AND(BE4&gt;=D11,BE4&lt;=E11,D11&lt;&gt;"")</formula>
    </cfRule>
  </conditionalFormatting>
  <conditionalFormatting sqref="BF11">
    <cfRule type="expression" priority="413" dxfId="0">
      <formula>=AND(BF4&gt;=D11,BF4&lt;=E11,D11&lt;&gt;"")</formula>
    </cfRule>
  </conditionalFormatting>
  <conditionalFormatting sqref="BG11">
    <cfRule type="expression" priority="414" dxfId="0">
      <formula>=AND(BG4&gt;=D11,BG4&lt;=E11,D11&lt;&gt;"")</formula>
    </cfRule>
  </conditionalFormatting>
  <conditionalFormatting sqref="BH11">
    <cfRule type="expression" priority="415" dxfId="0">
      <formula>=AND(BH4&gt;=D11,BH4&lt;=E11,D11&lt;&gt;"")</formula>
    </cfRule>
  </conditionalFormatting>
  <conditionalFormatting sqref="BI11">
    <cfRule type="expression" priority="416" dxfId="0">
      <formula>=AND(BI4&gt;=D11,BI4&lt;=E11,D11&lt;&gt;"")</formula>
    </cfRule>
  </conditionalFormatting>
  <conditionalFormatting sqref="BJ11">
    <cfRule type="expression" priority="417" dxfId="0">
      <formula>=AND(BJ4&gt;=D11,BJ4&lt;=E11,D11&lt;&gt;"")</formula>
    </cfRule>
  </conditionalFormatting>
  <conditionalFormatting sqref="BK11">
    <cfRule type="expression" priority="418" dxfId="0">
      <formula>=AND(BK4&gt;=D11,BK4&lt;=E11,D11&lt;&gt;"")</formula>
    </cfRule>
  </conditionalFormatting>
  <conditionalFormatting sqref="BL11">
    <cfRule type="expression" priority="419" dxfId="0">
      <formula>=AND(BL4&gt;=D11,BL4&lt;=E11,D11&lt;&gt;"")</formula>
    </cfRule>
  </conditionalFormatting>
  <conditionalFormatting sqref="BM11">
    <cfRule type="expression" priority="420" dxfId="0">
      <formula>=AND(BM4&gt;=D11,BM4&lt;=E11,D11&lt;&gt;"")</formula>
    </cfRule>
  </conditionalFormatting>
  <conditionalFormatting sqref="F12">
    <cfRule type="expression" priority="421" dxfId="0">
      <formula>=AND(F4&gt;=D12,F4&lt;=E12,D12&lt;&gt;"")</formula>
    </cfRule>
  </conditionalFormatting>
  <conditionalFormatting sqref="G12">
    <cfRule type="expression" priority="422" dxfId="0">
      <formula>=AND(G4&gt;=D12,G4&lt;=E12,D12&lt;&gt;"")</formula>
    </cfRule>
  </conditionalFormatting>
  <conditionalFormatting sqref="H12">
    <cfRule type="expression" priority="423" dxfId="0">
      <formula>=AND(H4&gt;=D12,H4&lt;=E12,D12&lt;&gt;"")</formula>
    </cfRule>
  </conditionalFormatting>
  <conditionalFormatting sqref="I12">
    <cfRule type="expression" priority="424" dxfId="0">
      <formula>=AND(I4&gt;=D12,I4&lt;=E12,D12&lt;&gt;"")</formula>
    </cfRule>
  </conditionalFormatting>
  <conditionalFormatting sqref="J12">
    <cfRule type="expression" priority="425" dxfId="0">
      <formula>=AND(J4&gt;=D12,J4&lt;=E12,D12&lt;&gt;"")</formula>
    </cfRule>
  </conditionalFormatting>
  <conditionalFormatting sqref="K12">
    <cfRule type="expression" priority="426" dxfId="0">
      <formula>=AND(K4&gt;=D12,K4&lt;=E12,D12&lt;&gt;"")</formula>
    </cfRule>
  </conditionalFormatting>
  <conditionalFormatting sqref="L12">
    <cfRule type="expression" priority="427" dxfId="0">
      <formula>=AND(L4&gt;=D12,L4&lt;=E12,D12&lt;&gt;"")</formula>
    </cfRule>
  </conditionalFormatting>
  <conditionalFormatting sqref="M12">
    <cfRule type="expression" priority="428" dxfId="0">
      <formula>=AND(M4&gt;=D12,M4&lt;=E12,D12&lt;&gt;"")</formula>
    </cfRule>
  </conditionalFormatting>
  <conditionalFormatting sqref="N12">
    <cfRule type="expression" priority="429" dxfId="0">
      <formula>=AND(N4&gt;=D12,N4&lt;=E12,D12&lt;&gt;"")</formula>
    </cfRule>
  </conditionalFormatting>
  <conditionalFormatting sqref="O12">
    <cfRule type="expression" priority="430" dxfId="0">
      <formula>=AND(O4&gt;=D12,O4&lt;=E12,D12&lt;&gt;"")</formula>
    </cfRule>
  </conditionalFormatting>
  <conditionalFormatting sqref="P12">
    <cfRule type="expression" priority="431" dxfId="0">
      <formula>=AND(P4&gt;=D12,P4&lt;=E12,D12&lt;&gt;"")</formula>
    </cfRule>
  </conditionalFormatting>
  <conditionalFormatting sqref="Q12">
    <cfRule type="expression" priority="432" dxfId="0">
      <formula>=AND(Q4&gt;=D12,Q4&lt;=E12,D12&lt;&gt;"")</formula>
    </cfRule>
  </conditionalFormatting>
  <conditionalFormatting sqref="R12">
    <cfRule type="expression" priority="433" dxfId="0">
      <formula>=AND(R4&gt;=D12,R4&lt;=E12,D12&lt;&gt;"")</formula>
    </cfRule>
  </conditionalFormatting>
  <conditionalFormatting sqref="S12">
    <cfRule type="expression" priority="434" dxfId="0">
      <formula>=AND(S4&gt;=D12,S4&lt;=E12,D12&lt;&gt;"")</formula>
    </cfRule>
  </conditionalFormatting>
  <conditionalFormatting sqref="T12">
    <cfRule type="expression" priority="435" dxfId="0">
      <formula>=AND(T4&gt;=D12,T4&lt;=E12,D12&lt;&gt;"")</formula>
    </cfRule>
  </conditionalFormatting>
  <conditionalFormatting sqref="U12">
    <cfRule type="expression" priority="436" dxfId="0">
      <formula>=AND(U4&gt;=D12,U4&lt;=E12,D12&lt;&gt;"")</formula>
    </cfRule>
  </conditionalFormatting>
  <conditionalFormatting sqref="V12">
    <cfRule type="expression" priority="437" dxfId="0">
      <formula>=AND(V4&gt;=D12,V4&lt;=E12,D12&lt;&gt;"")</formula>
    </cfRule>
  </conditionalFormatting>
  <conditionalFormatting sqref="W12">
    <cfRule type="expression" priority="438" dxfId="0">
      <formula>=AND(W4&gt;=D12,W4&lt;=E12,D12&lt;&gt;"")</formula>
    </cfRule>
  </conditionalFormatting>
  <conditionalFormatting sqref="X12">
    <cfRule type="expression" priority="439" dxfId="0">
      <formula>=AND(X4&gt;=D12,X4&lt;=E12,D12&lt;&gt;"")</formula>
    </cfRule>
  </conditionalFormatting>
  <conditionalFormatting sqref="Y12">
    <cfRule type="expression" priority="440" dxfId="0">
      <formula>=AND(Y4&gt;=D12,Y4&lt;=E12,D12&lt;&gt;"")</formula>
    </cfRule>
  </conditionalFormatting>
  <conditionalFormatting sqref="Z12">
    <cfRule type="expression" priority="441" dxfId="0">
      <formula>=AND(Z4&gt;=D12,Z4&lt;=E12,D12&lt;&gt;"")</formula>
    </cfRule>
  </conditionalFormatting>
  <conditionalFormatting sqref="AA12">
    <cfRule type="expression" priority="442" dxfId="0">
      <formula>=AND(AA4&gt;=D12,AA4&lt;=E12,D12&lt;&gt;"")</formula>
    </cfRule>
  </conditionalFormatting>
  <conditionalFormatting sqref="AB12">
    <cfRule type="expression" priority="443" dxfId="0">
      <formula>=AND(AB4&gt;=D12,AB4&lt;=E12,D12&lt;&gt;"")</formula>
    </cfRule>
  </conditionalFormatting>
  <conditionalFormatting sqref="AC12">
    <cfRule type="expression" priority="444" dxfId="0">
      <formula>=AND(AC4&gt;=D12,AC4&lt;=E12,D12&lt;&gt;"")</formula>
    </cfRule>
  </conditionalFormatting>
  <conditionalFormatting sqref="AD12">
    <cfRule type="expression" priority="445" dxfId="0">
      <formula>=AND(AD4&gt;=D12,AD4&lt;=E12,D12&lt;&gt;"")</formula>
    </cfRule>
  </conditionalFormatting>
  <conditionalFormatting sqref="AE12">
    <cfRule type="expression" priority="446" dxfId="0">
      <formula>=AND(AE4&gt;=D12,AE4&lt;=E12,D12&lt;&gt;"")</formula>
    </cfRule>
  </conditionalFormatting>
  <conditionalFormatting sqref="AF12">
    <cfRule type="expression" priority="447" dxfId="0">
      <formula>=AND(AF4&gt;=D12,AF4&lt;=E12,D12&lt;&gt;"")</formula>
    </cfRule>
  </conditionalFormatting>
  <conditionalFormatting sqref="AG12">
    <cfRule type="expression" priority="448" dxfId="0">
      <formula>=AND(AG4&gt;=D12,AG4&lt;=E12,D12&lt;&gt;"")</formula>
    </cfRule>
  </conditionalFormatting>
  <conditionalFormatting sqref="AH12">
    <cfRule type="expression" priority="449" dxfId="0">
      <formula>=AND(AH4&gt;=D12,AH4&lt;=E12,D12&lt;&gt;"")</formula>
    </cfRule>
  </conditionalFormatting>
  <conditionalFormatting sqref="AI12">
    <cfRule type="expression" priority="450" dxfId="0">
      <formula>=AND(AI4&gt;=D12,AI4&lt;=E12,D12&lt;&gt;"")</formula>
    </cfRule>
  </conditionalFormatting>
  <conditionalFormatting sqref="AJ12">
    <cfRule type="expression" priority="451" dxfId="0">
      <formula>=AND(AJ4&gt;=D12,AJ4&lt;=E12,D12&lt;&gt;"")</formula>
    </cfRule>
  </conditionalFormatting>
  <conditionalFormatting sqref="AK12">
    <cfRule type="expression" priority="452" dxfId="0">
      <formula>=AND(AK4&gt;=D12,AK4&lt;=E12,D12&lt;&gt;"")</formula>
    </cfRule>
  </conditionalFormatting>
  <conditionalFormatting sqref="AL12">
    <cfRule type="expression" priority="453" dxfId="0">
      <formula>=AND(AL4&gt;=D12,AL4&lt;=E12,D12&lt;&gt;"")</formula>
    </cfRule>
  </conditionalFormatting>
  <conditionalFormatting sqref="AM12">
    <cfRule type="expression" priority="454" dxfId="0">
      <formula>=AND(AM4&gt;=D12,AM4&lt;=E12,D12&lt;&gt;"")</formula>
    </cfRule>
  </conditionalFormatting>
  <conditionalFormatting sqref="AN12">
    <cfRule type="expression" priority="455" dxfId="0">
      <formula>=AND(AN4&gt;=D12,AN4&lt;=E12,D12&lt;&gt;"")</formula>
    </cfRule>
  </conditionalFormatting>
  <conditionalFormatting sqref="AO12">
    <cfRule type="expression" priority="456" dxfId="0">
      <formula>=AND(AO4&gt;=D12,AO4&lt;=E12,D12&lt;&gt;"")</formula>
    </cfRule>
  </conditionalFormatting>
  <conditionalFormatting sqref="AP12">
    <cfRule type="expression" priority="457" dxfId="0">
      <formula>=AND(AP4&gt;=D12,AP4&lt;=E12,D12&lt;&gt;"")</formula>
    </cfRule>
  </conditionalFormatting>
  <conditionalFormatting sqref="AQ12">
    <cfRule type="expression" priority="458" dxfId="0">
      <formula>=AND(AQ4&gt;=D12,AQ4&lt;=E12,D12&lt;&gt;"")</formula>
    </cfRule>
  </conditionalFormatting>
  <conditionalFormatting sqref="AR12">
    <cfRule type="expression" priority="459" dxfId="0">
      <formula>=AND(AR4&gt;=D12,AR4&lt;=E12,D12&lt;&gt;"")</formula>
    </cfRule>
  </conditionalFormatting>
  <conditionalFormatting sqref="AS12">
    <cfRule type="expression" priority="460" dxfId="0">
      <formula>=AND(AS4&gt;=D12,AS4&lt;=E12,D12&lt;&gt;"")</formula>
    </cfRule>
  </conditionalFormatting>
  <conditionalFormatting sqref="AT12">
    <cfRule type="expression" priority="461" dxfId="0">
      <formula>=AND(AT4&gt;=D12,AT4&lt;=E12,D12&lt;&gt;"")</formula>
    </cfRule>
  </conditionalFormatting>
  <conditionalFormatting sqref="AU12">
    <cfRule type="expression" priority="462" dxfId="0">
      <formula>=AND(AU4&gt;=D12,AU4&lt;=E12,D12&lt;&gt;"")</formula>
    </cfRule>
  </conditionalFormatting>
  <conditionalFormatting sqref="AV12">
    <cfRule type="expression" priority="463" dxfId="0">
      <formula>=AND(AV4&gt;=D12,AV4&lt;=E12,D12&lt;&gt;"")</formula>
    </cfRule>
  </conditionalFormatting>
  <conditionalFormatting sqref="AW12">
    <cfRule type="expression" priority="464" dxfId="0">
      <formula>=AND(AW4&gt;=D12,AW4&lt;=E12,D12&lt;&gt;"")</formula>
    </cfRule>
  </conditionalFormatting>
  <conditionalFormatting sqref="AX12">
    <cfRule type="expression" priority="465" dxfId="0">
      <formula>=AND(AX4&gt;=D12,AX4&lt;=E12,D12&lt;&gt;"")</formula>
    </cfRule>
  </conditionalFormatting>
  <conditionalFormatting sqref="AY12">
    <cfRule type="expression" priority="466" dxfId="0">
      <formula>=AND(AY4&gt;=D12,AY4&lt;=E12,D12&lt;&gt;"")</formula>
    </cfRule>
  </conditionalFormatting>
  <conditionalFormatting sqref="AZ12">
    <cfRule type="expression" priority="467" dxfId="0">
      <formula>=AND(AZ4&gt;=D12,AZ4&lt;=E12,D12&lt;&gt;"")</formula>
    </cfRule>
  </conditionalFormatting>
  <conditionalFormatting sqref="BA12">
    <cfRule type="expression" priority="468" dxfId="0">
      <formula>=AND(BA4&gt;=D12,BA4&lt;=E12,D12&lt;&gt;"")</formula>
    </cfRule>
  </conditionalFormatting>
  <conditionalFormatting sqref="BB12">
    <cfRule type="expression" priority="469" dxfId="0">
      <formula>=AND(BB4&gt;=D12,BB4&lt;=E12,D12&lt;&gt;"")</formula>
    </cfRule>
  </conditionalFormatting>
  <conditionalFormatting sqref="BC12">
    <cfRule type="expression" priority="470" dxfId="0">
      <formula>=AND(BC4&gt;=D12,BC4&lt;=E12,D12&lt;&gt;"")</formula>
    </cfRule>
  </conditionalFormatting>
  <conditionalFormatting sqref="BD12">
    <cfRule type="expression" priority="471" dxfId="0">
      <formula>=AND(BD4&gt;=D12,BD4&lt;=E12,D12&lt;&gt;"")</formula>
    </cfRule>
  </conditionalFormatting>
  <conditionalFormatting sqref="BE12">
    <cfRule type="expression" priority="472" dxfId="0">
      <formula>=AND(BE4&gt;=D12,BE4&lt;=E12,D12&lt;&gt;"")</formula>
    </cfRule>
  </conditionalFormatting>
  <conditionalFormatting sqref="BF12">
    <cfRule type="expression" priority="473" dxfId="0">
      <formula>=AND(BF4&gt;=D12,BF4&lt;=E12,D12&lt;&gt;"")</formula>
    </cfRule>
  </conditionalFormatting>
  <conditionalFormatting sqref="BG12">
    <cfRule type="expression" priority="474" dxfId="0">
      <formula>=AND(BG4&gt;=D12,BG4&lt;=E12,D12&lt;&gt;"")</formula>
    </cfRule>
  </conditionalFormatting>
  <conditionalFormatting sqref="BH12">
    <cfRule type="expression" priority="475" dxfId="0">
      <formula>=AND(BH4&gt;=D12,BH4&lt;=E12,D12&lt;&gt;"")</formula>
    </cfRule>
  </conditionalFormatting>
  <conditionalFormatting sqref="BI12">
    <cfRule type="expression" priority="476" dxfId="0">
      <formula>=AND(BI4&gt;=D12,BI4&lt;=E12,D12&lt;&gt;"")</formula>
    </cfRule>
  </conditionalFormatting>
  <conditionalFormatting sqref="BJ12">
    <cfRule type="expression" priority="477" dxfId="0">
      <formula>=AND(BJ4&gt;=D12,BJ4&lt;=E12,D12&lt;&gt;"")</formula>
    </cfRule>
  </conditionalFormatting>
  <conditionalFormatting sqref="BK12">
    <cfRule type="expression" priority="478" dxfId="0">
      <formula>=AND(BK4&gt;=D12,BK4&lt;=E12,D12&lt;&gt;"")</formula>
    </cfRule>
  </conditionalFormatting>
  <conditionalFormatting sqref="BL12">
    <cfRule type="expression" priority="479" dxfId="0">
      <formula>=AND(BL4&gt;=D12,BL4&lt;=E12,D12&lt;&gt;"")</formula>
    </cfRule>
  </conditionalFormatting>
  <conditionalFormatting sqref="BM12">
    <cfRule type="expression" priority="480" dxfId="0">
      <formula>=AND(BM4&gt;=D12,BM4&lt;=E12,D12&lt;&gt;"")</formula>
    </cfRule>
  </conditionalFormatting>
  <conditionalFormatting sqref="F13">
    <cfRule type="expression" priority="481" dxfId="0">
      <formula>=AND(F4&gt;=D13,F4&lt;=E13,D13&lt;&gt;"")</formula>
    </cfRule>
  </conditionalFormatting>
  <conditionalFormatting sqref="G13">
    <cfRule type="expression" priority="482" dxfId="0">
      <formula>=AND(G4&gt;=D13,G4&lt;=E13,D13&lt;&gt;"")</formula>
    </cfRule>
  </conditionalFormatting>
  <conditionalFormatting sqref="H13">
    <cfRule type="expression" priority="483" dxfId="0">
      <formula>=AND(H4&gt;=D13,H4&lt;=E13,D13&lt;&gt;"")</formula>
    </cfRule>
  </conditionalFormatting>
  <conditionalFormatting sqref="I13">
    <cfRule type="expression" priority="484" dxfId="0">
      <formula>=AND(I4&gt;=D13,I4&lt;=E13,D13&lt;&gt;"")</formula>
    </cfRule>
  </conditionalFormatting>
  <conditionalFormatting sqref="J13">
    <cfRule type="expression" priority="485" dxfId="0">
      <formula>=AND(J4&gt;=D13,J4&lt;=E13,D13&lt;&gt;"")</formula>
    </cfRule>
  </conditionalFormatting>
  <conditionalFormatting sqref="K13">
    <cfRule type="expression" priority="486" dxfId="0">
      <formula>=AND(K4&gt;=D13,K4&lt;=E13,D13&lt;&gt;"")</formula>
    </cfRule>
  </conditionalFormatting>
  <conditionalFormatting sqref="L13">
    <cfRule type="expression" priority="487" dxfId="0">
      <formula>=AND(L4&gt;=D13,L4&lt;=E13,D13&lt;&gt;"")</formula>
    </cfRule>
  </conditionalFormatting>
  <conditionalFormatting sqref="M13">
    <cfRule type="expression" priority="488" dxfId="0">
      <formula>=AND(M4&gt;=D13,M4&lt;=E13,D13&lt;&gt;"")</formula>
    </cfRule>
  </conditionalFormatting>
  <conditionalFormatting sqref="N13">
    <cfRule type="expression" priority="489" dxfId="0">
      <formula>=AND(N4&gt;=D13,N4&lt;=E13,D13&lt;&gt;"")</formula>
    </cfRule>
  </conditionalFormatting>
  <conditionalFormatting sqref="O13">
    <cfRule type="expression" priority="490" dxfId="0">
      <formula>=AND(O4&gt;=D13,O4&lt;=E13,D13&lt;&gt;"")</formula>
    </cfRule>
  </conditionalFormatting>
  <conditionalFormatting sqref="P13">
    <cfRule type="expression" priority="491" dxfId="0">
      <formula>=AND(P4&gt;=D13,P4&lt;=E13,D13&lt;&gt;"")</formula>
    </cfRule>
  </conditionalFormatting>
  <conditionalFormatting sqref="Q13">
    <cfRule type="expression" priority="492" dxfId="0">
      <formula>=AND(Q4&gt;=D13,Q4&lt;=E13,D13&lt;&gt;"")</formula>
    </cfRule>
  </conditionalFormatting>
  <conditionalFormatting sqref="R13">
    <cfRule type="expression" priority="493" dxfId="0">
      <formula>=AND(R4&gt;=D13,R4&lt;=E13,D13&lt;&gt;"")</formula>
    </cfRule>
  </conditionalFormatting>
  <conditionalFormatting sqref="S13">
    <cfRule type="expression" priority="494" dxfId="0">
      <formula>=AND(S4&gt;=D13,S4&lt;=E13,D13&lt;&gt;"")</formula>
    </cfRule>
  </conditionalFormatting>
  <conditionalFormatting sqref="T13">
    <cfRule type="expression" priority="495" dxfId="0">
      <formula>=AND(T4&gt;=D13,T4&lt;=E13,D13&lt;&gt;"")</formula>
    </cfRule>
  </conditionalFormatting>
  <conditionalFormatting sqref="U13">
    <cfRule type="expression" priority="496" dxfId="0">
      <formula>=AND(U4&gt;=D13,U4&lt;=E13,D13&lt;&gt;"")</formula>
    </cfRule>
  </conditionalFormatting>
  <conditionalFormatting sqref="V13">
    <cfRule type="expression" priority="497" dxfId="0">
      <formula>=AND(V4&gt;=D13,V4&lt;=E13,D13&lt;&gt;"")</formula>
    </cfRule>
  </conditionalFormatting>
  <conditionalFormatting sqref="W13">
    <cfRule type="expression" priority="498" dxfId="0">
      <formula>=AND(W4&gt;=D13,W4&lt;=E13,D13&lt;&gt;"")</formula>
    </cfRule>
  </conditionalFormatting>
  <conditionalFormatting sqref="X13">
    <cfRule type="expression" priority="499" dxfId="0">
      <formula>=AND(X4&gt;=D13,X4&lt;=E13,D13&lt;&gt;"")</formula>
    </cfRule>
  </conditionalFormatting>
  <conditionalFormatting sqref="Y13">
    <cfRule type="expression" priority="500" dxfId="0">
      <formula>=AND(Y4&gt;=D13,Y4&lt;=E13,D13&lt;&gt;"")</formula>
    </cfRule>
  </conditionalFormatting>
  <conditionalFormatting sqref="Z13">
    <cfRule type="expression" priority="501" dxfId="0">
      <formula>=AND(Z4&gt;=D13,Z4&lt;=E13,D13&lt;&gt;"")</formula>
    </cfRule>
  </conditionalFormatting>
  <conditionalFormatting sqref="AA13">
    <cfRule type="expression" priority="502" dxfId="0">
      <formula>=AND(AA4&gt;=D13,AA4&lt;=E13,D13&lt;&gt;"")</formula>
    </cfRule>
  </conditionalFormatting>
  <conditionalFormatting sqref="AB13">
    <cfRule type="expression" priority="503" dxfId="0">
      <formula>=AND(AB4&gt;=D13,AB4&lt;=E13,D13&lt;&gt;"")</formula>
    </cfRule>
  </conditionalFormatting>
  <conditionalFormatting sqref="AC13">
    <cfRule type="expression" priority="504" dxfId="0">
      <formula>=AND(AC4&gt;=D13,AC4&lt;=E13,D13&lt;&gt;"")</formula>
    </cfRule>
  </conditionalFormatting>
  <conditionalFormatting sqref="AD13">
    <cfRule type="expression" priority="505" dxfId="0">
      <formula>=AND(AD4&gt;=D13,AD4&lt;=E13,D13&lt;&gt;"")</formula>
    </cfRule>
  </conditionalFormatting>
  <conditionalFormatting sqref="AE13">
    <cfRule type="expression" priority="506" dxfId="0">
      <formula>=AND(AE4&gt;=D13,AE4&lt;=E13,D13&lt;&gt;"")</formula>
    </cfRule>
  </conditionalFormatting>
  <conditionalFormatting sqref="AF13">
    <cfRule type="expression" priority="507" dxfId="0">
      <formula>=AND(AF4&gt;=D13,AF4&lt;=E13,D13&lt;&gt;"")</formula>
    </cfRule>
  </conditionalFormatting>
  <conditionalFormatting sqref="AG13">
    <cfRule type="expression" priority="508" dxfId="0">
      <formula>=AND(AG4&gt;=D13,AG4&lt;=E13,D13&lt;&gt;"")</formula>
    </cfRule>
  </conditionalFormatting>
  <conditionalFormatting sqref="AH13">
    <cfRule type="expression" priority="509" dxfId="0">
      <formula>=AND(AH4&gt;=D13,AH4&lt;=E13,D13&lt;&gt;"")</formula>
    </cfRule>
  </conditionalFormatting>
  <conditionalFormatting sqref="AI13">
    <cfRule type="expression" priority="510" dxfId="0">
      <formula>=AND(AI4&gt;=D13,AI4&lt;=E13,D13&lt;&gt;"")</formula>
    </cfRule>
  </conditionalFormatting>
  <conditionalFormatting sqref="AJ13">
    <cfRule type="expression" priority="511" dxfId="0">
      <formula>=AND(AJ4&gt;=D13,AJ4&lt;=E13,D13&lt;&gt;"")</formula>
    </cfRule>
  </conditionalFormatting>
  <conditionalFormatting sqref="AK13">
    <cfRule type="expression" priority="512" dxfId="0">
      <formula>=AND(AK4&gt;=D13,AK4&lt;=E13,D13&lt;&gt;"")</formula>
    </cfRule>
  </conditionalFormatting>
  <conditionalFormatting sqref="AL13">
    <cfRule type="expression" priority="513" dxfId="0">
      <formula>=AND(AL4&gt;=D13,AL4&lt;=E13,D13&lt;&gt;"")</formula>
    </cfRule>
  </conditionalFormatting>
  <conditionalFormatting sqref="AM13">
    <cfRule type="expression" priority="514" dxfId="0">
      <formula>=AND(AM4&gt;=D13,AM4&lt;=E13,D13&lt;&gt;"")</formula>
    </cfRule>
  </conditionalFormatting>
  <conditionalFormatting sqref="AN13">
    <cfRule type="expression" priority="515" dxfId="0">
      <formula>=AND(AN4&gt;=D13,AN4&lt;=E13,D13&lt;&gt;"")</formula>
    </cfRule>
  </conditionalFormatting>
  <conditionalFormatting sqref="AO13">
    <cfRule type="expression" priority="516" dxfId="0">
      <formula>=AND(AO4&gt;=D13,AO4&lt;=E13,D13&lt;&gt;"")</formula>
    </cfRule>
  </conditionalFormatting>
  <conditionalFormatting sqref="AP13">
    <cfRule type="expression" priority="517" dxfId="0">
      <formula>=AND(AP4&gt;=D13,AP4&lt;=E13,D13&lt;&gt;"")</formula>
    </cfRule>
  </conditionalFormatting>
  <conditionalFormatting sqref="AQ13">
    <cfRule type="expression" priority="518" dxfId="0">
      <formula>=AND(AQ4&gt;=D13,AQ4&lt;=E13,D13&lt;&gt;"")</formula>
    </cfRule>
  </conditionalFormatting>
  <conditionalFormatting sqref="AR13">
    <cfRule type="expression" priority="519" dxfId="0">
      <formula>=AND(AR4&gt;=D13,AR4&lt;=E13,D13&lt;&gt;"")</formula>
    </cfRule>
  </conditionalFormatting>
  <conditionalFormatting sqref="AS13">
    <cfRule type="expression" priority="520" dxfId="0">
      <formula>=AND(AS4&gt;=D13,AS4&lt;=E13,D13&lt;&gt;"")</formula>
    </cfRule>
  </conditionalFormatting>
  <conditionalFormatting sqref="AT13">
    <cfRule type="expression" priority="521" dxfId="0">
      <formula>=AND(AT4&gt;=D13,AT4&lt;=E13,D13&lt;&gt;"")</formula>
    </cfRule>
  </conditionalFormatting>
  <conditionalFormatting sqref="AU13">
    <cfRule type="expression" priority="522" dxfId="0">
      <formula>=AND(AU4&gt;=D13,AU4&lt;=E13,D13&lt;&gt;"")</formula>
    </cfRule>
  </conditionalFormatting>
  <conditionalFormatting sqref="AV13">
    <cfRule type="expression" priority="523" dxfId="0">
      <formula>=AND(AV4&gt;=D13,AV4&lt;=E13,D13&lt;&gt;"")</formula>
    </cfRule>
  </conditionalFormatting>
  <conditionalFormatting sqref="AW13">
    <cfRule type="expression" priority="524" dxfId="0">
      <formula>=AND(AW4&gt;=D13,AW4&lt;=E13,D13&lt;&gt;"")</formula>
    </cfRule>
  </conditionalFormatting>
  <conditionalFormatting sqref="AX13">
    <cfRule type="expression" priority="525" dxfId="0">
      <formula>=AND(AX4&gt;=D13,AX4&lt;=E13,D13&lt;&gt;"")</formula>
    </cfRule>
  </conditionalFormatting>
  <conditionalFormatting sqref="AY13">
    <cfRule type="expression" priority="526" dxfId="0">
      <formula>=AND(AY4&gt;=D13,AY4&lt;=E13,D13&lt;&gt;"")</formula>
    </cfRule>
  </conditionalFormatting>
  <conditionalFormatting sqref="AZ13">
    <cfRule type="expression" priority="527" dxfId="0">
      <formula>=AND(AZ4&gt;=D13,AZ4&lt;=E13,D13&lt;&gt;"")</formula>
    </cfRule>
  </conditionalFormatting>
  <conditionalFormatting sqref="BA13">
    <cfRule type="expression" priority="528" dxfId="0">
      <formula>=AND(BA4&gt;=D13,BA4&lt;=E13,D13&lt;&gt;"")</formula>
    </cfRule>
  </conditionalFormatting>
  <conditionalFormatting sqref="BB13">
    <cfRule type="expression" priority="529" dxfId="0">
      <formula>=AND(BB4&gt;=D13,BB4&lt;=E13,D13&lt;&gt;"")</formula>
    </cfRule>
  </conditionalFormatting>
  <conditionalFormatting sqref="BC13">
    <cfRule type="expression" priority="530" dxfId="0">
      <formula>=AND(BC4&gt;=D13,BC4&lt;=E13,D13&lt;&gt;"")</formula>
    </cfRule>
  </conditionalFormatting>
  <conditionalFormatting sqref="BD13">
    <cfRule type="expression" priority="531" dxfId="0">
      <formula>=AND(BD4&gt;=D13,BD4&lt;=E13,D13&lt;&gt;"")</formula>
    </cfRule>
  </conditionalFormatting>
  <conditionalFormatting sqref="BE13">
    <cfRule type="expression" priority="532" dxfId="0">
      <formula>=AND(BE4&gt;=D13,BE4&lt;=E13,D13&lt;&gt;"")</formula>
    </cfRule>
  </conditionalFormatting>
  <conditionalFormatting sqref="BF13">
    <cfRule type="expression" priority="533" dxfId="0">
      <formula>=AND(BF4&gt;=D13,BF4&lt;=E13,D13&lt;&gt;"")</formula>
    </cfRule>
  </conditionalFormatting>
  <conditionalFormatting sqref="BG13">
    <cfRule type="expression" priority="534" dxfId="0">
      <formula>=AND(BG4&gt;=D13,BG4&lt;=E13,D13&lt;&gt;"")</formula>
    </cfRule>
  </conditionalFormatting>
  <conditionalFormatting sqref="BH13">
    <cfRule type="expression" priority="535" dxfId="0">
      <formula>=AND(BH4&gt;=D13,BH4&lt;=E13,D13&lt;&gt;"")</formula>
    </cfRule>
  </conditionalFormatting>
  <conditionalFormatting sqref="BI13">
    <cfRule type="expression" priority="536" dxfId="0">
      <formula>=AND(BI4&gt;=D13,BI4&lt;=E13,D13&lt;&gt;"")</formula>
    </cfRule>
  </conditionalFormatting>
  <conditionalFormatting sqref="BJ13">
    <cfRule type="expression" priority="537" dxfId="0">
      <formula>=AND(BJ4&gt;=D13,BJ4&lt;=E13,D13&lt;&gt;"")</formula>
    </cfRule>
  </conditionalFormatting>
  <conditionalFormatting sqref="BK13">
    <cfRule type="expression" priority="538" dxfId="0">
      <formula>=AND(BK4&gt;=D13,BK4&lt;=E13,D13&lt;&gt;"")</formula>
    </cfRule>
  </conditionalFormatting>
  <conditionalFormatting sqref="BL13">
    <cfRule type="expression" priority="539" dxfId="0">
      <formula>=AND(BL4&gt;=D13,BL4&lt;=E13,D13&lt;&gt;"")</formula>
    </cfRule>
  </conditionalFormatting>
  <conditionalFormatting sqref="BM13">
    <cfRule type="expression" priority="540" dxfId="0">
      <formula>=AND(BM4&gt;=D13,BM4&lt;=E13,D13&lt;&gt;"")</formula>
    </cfRule>
  </conditionalFormatting>
  <conditionalFormatting sqref="F14">
    <cfRule type="expression" priority="541" dxfId="0">
      <formula>=AND(F4&gt;=D14,F4&lt;=E14,D14&lt;&gt;"")</formula>
    </cfRule>
  </conditionalFormatting>
  <conditionalFormatting sqref="G14">
    <cfRule type="expression" priority="542" dxfId="0">
      <formula>=AND(G4&gt;=D14,G4&lt;=E14,D14&lt;&gt;"")</formula>
    </cfRule>
  </conditionalFormatting>
  <conditionalFormatting sqref="H14">
    <cfRule type="expression" priority="543" dxfId="0">
      <formula>=AND(H4&gt;=D14,H4&lt;=E14,D14&lt;&gt;"")</formula>
    </cfRule>
  </conditionalFormatting>
  <conditionalFormatting sqref="I14">
    <cfRule type="expression" priority="544" dxfId="0">
      <formula>=AND(I4&gt;=D14,I4&lt;=E14,D14&lt;&gt;"")</formula>
    </cfRule>
  </conditionalFormatting>
  <conditionalFormatting sqref="J14">
    <cfRule type="expression" priority="545" dxfId="0">
      <formula>=AND(J4&gt;=D14,J4&lt;=E14,D14&lt;&gt;"")</formula>
    </cfRule>
  </conditionalFormatting>
  <conditionalFormatting sqref="K14">
    <cfRule type="expression" priority="546" dxfId="0">
      <formula>=AND(K4&gt;=D14,K4&lt;=E14,D14&lt;&gt;"")</formula>
    </cfRule>
  </conditionalFormatting>
  <conditionalFormatting sqref="L14">
    <cfRule type="expression" priority="547" dxfId="0">
      <formula>=AND(L4&gt;=D14,L4&lt;=E14,D14&lt;&gt;"")</formula>
    </cfRule>
  </conditionalFormatting>
  <conditionalFormatting sqref="M14">
    <cfRule type="expression" priority="548" dxfId="0">
      <formula>=AND(M4&gt;=D14,M4&lt;=E14,D14&lt;&gt;"")</formula>
    </cfRule>
  </conditionalFormatting>
  <conditionalFormatting sqref="N14">
    <cfRule type="expression" priority="549" dxfId="0">
      <formula>=AND(N4&gt;=D14,N4&lt;=E14,D14&lt;&gt;"")</formula>
    </cfRule>
  </conditionalFormatting>
  <conditionalFormatting sqref="O14">
    <cfRule type="expression" priority="550" dxfId="0">
      <formula>=AND(O4&gt;=D14,O4&lt;=E14,D14&lt;&gt;"")</formula>
    </cfRule>
  </conditionalFormatting>
  <conditionalFormatting sqref="P14">
    <cfRule type="expression" priority="551" dxfId="0">
      <formula>=AND(P4&gt;=D14,P4&lt;=E14,D14&lt;&gt;"")</formula>
    </cfRule>
  </conditionalFormatting>
  <conditionalFormatting sqref="Q14">
    <cfRule type="expression" priority="552" dxfId="0">
      <formula>=AND(Q4&gt;=D14,Q4&lt;=E14,D14&lt;&gt;"")</formula>
    </cfRule>
  </conditionalFormatting>
  <conditionalFormatting sqref="R14">
    <cfRule type="expression" priority="553" dxfId="0">
      <formula>=AND(R4&gt;=D14,R4&lt;=E14,D14&lt;&gt;"")</formula>
    </cfRule>
  </conditionalFormatting>
  <conditionalFormatting sqref="S14">
    <cfRule type="expression" priority="554" dxfId="0">
      <formula>=AND(S4&gt;=D14,S4&lt;=E14,D14&lt;&gt;"")</formula>
    </cfRule>
  </conditionalFormatting>
  <conditionalFormatting sqref="T14">
    <cfRule type="expression" priority="555" dxfId="0">
      <formula>=AND(T4&gt;=D14,T4&lt;=E14,D14&lt;&gt;"")</formula>
    </cfRule>
  </conditionalFormatting>
  <conditionalFormatting sqref="U14">
    <cfRule type="expression" priority="556" dxfId="0">
      <formula>=AND(U4&gt;=D14,U4&lt;=E14,D14&lt;&gt;"")</formula>
    </cfRule>
  </conditionalFormatting>
  <conditionalFormatting sqref="V14">
    <cfRule type="expression" priority="557" dxfId="0">
      <formula>=AND(V4&gt;=D14,V4&lt;=E14,D14&lt;&gt;"")</formula>
    </cfRule>
  </conditionalFormatting>
  <conditionalFormatting sqref="W14">
    <cfRule type="expression" priority="558" dxfId="0">
      <formula>=AND(W4&gt;=D14,W4&lt;=E14,D14&lt;&gt;"")</formula>
    </cfRule>
  </conditionalFormatting>
  <conditionalFormatting sqref="X14">
    <cfRule type="expression" priority="559" dxfId="0">
      <formula>=AND(X4&gt;=D14,X4&lt;=E14,D14&lt;&gt;"")</formula>
    </cfRule>
  </conditionalFormatting>
  <conditionalFormatting sqref="Y14">
    <cfRule type="expression" priority="560" dxfId="0">
      <formula>=AND(Y4&gt;=D14,Y4&lt;=E14,D14&lt;&gt;"")</formula>
    </cfRule>
  </conditionalFormatting>
  <conditionalFormatting sqref="Z14">
    <cfRule type="expression" priority="561" dxfId="0">
      <formula>=AND(Z4&gt;=D14,Z4&lt;=E14,D14&lt;&gt;"")</formula>
    </cfRule>
  </conditionalFormatting>
  <conditionalFormatting sqref="AA14">
    <cfRule type="expression" priority="562" dxfId="0">
      <formula>=AND(AA4&gt;=D14,AA4&lt;=E14,D14&lt;&gt;"")</formula>
    </cfRule>
  </conditionalFormatting>
  <conditionalFormatting sqref="AB14">
    <cfRule type="expression" priority="563" dxfId="0">
      <formula>=AND(AB4&gt;=D14,AB4&lt;=E14,D14&lt;&gt;"")</formula>
    </cfRule>
  </conditionalFormatting>
  <conditionalFormatting sqref="AC14">
    <cfRule type="expression" priority="564" dxfId="0">
      <formula>=AND(AC4&gt;=D14,AC4&lt;=E14,D14&lt;&gt;"")</formula>
    </cfRule>
  </conditionalFormatting>
  <conditionalFormatting sqref="AD14">
    <cfRule type="expression" priority="565" dxfId="0">
      <formula>=AND(AD4&gt;=D14,AD4&lt;=E14,D14&lt;&gt;"")</formula>
    </cfRule>
  </conditionalFormatting>
  <conditionalFormatting sqref="AE14">
    <cfRule type="expression" priority="566" dxfId="0">
      <formula>=AND(AE4&gt;=D14,AE4&lt;=E14,D14&lt;&gt;"")</formula>
    </cfRule>
  </conditionalFormatting>
  <conditionalFormatting sqref="AF14">
    <cfRule type="expression" priority="567" dxfId="0">
      <formula>=AND(AF4&gt;=D14,AF4&lt;=E14,D14&lt;&gt;"")</formula>
    </cfRule>
  </conditionalFormatting>
  <conditionalFormatting sqref="AG14">
    <cfRule type="expression" priority="568" dxfId="0">
      <formula>=AND(AG4&gt;=D14,AG4&lt;=E14,D14&lt;&gt;"")</formula>
    </cfRule>
  </conditionalFormatting>
  <conditionalFormatting sqref="AH14">
    <cfRule type="expression" priority="569" dxfId="0">
      <formula>=AND(AH4&gt;=D14,AH4&lt;=E14,D14&lt;&gt;"")</formula>
    </cfRule>
  </conditionalFormatting>
  <conditionalFormatting sqref="AI14">
    <cfRule type="expression" priority="570" dxfId="0">
      <formula>=AND(AI4&gt;=D14,AI4&lt;=E14,D14&lt;&gt;"")</formula>
    </cfRule>
  </conditionalFormatting>
  <conditionalFormatting sqref="AJ14">
    <cfRule type="expression" priority="571" dxfId="0">
      <formula>=AND(AJ4&gt;=D14,AJ4&lt;=E14,D14&lt;&gt;"")</formula>
    </cfRule>
  </conditionalFormatting>
  <conditionalFormatting sqref="AK14">
    <cfRule type="expression" priority="572" dxfId="0">
      <formula>=AND(AK4&gt;=D14,AK4&lt;=E14,D14&lt;&gt;"")</formula>
    </cfRule>
  </conditionalFormatting>
  <conditionalFormatting sqref="AL14">
    <cfRule type="expression" priority="573" dxfId="0">
      <formula>=AND(AL4&gt;=D14,AL4&lt;=E14,D14&lt;&gt;"")</formula>
    </cfRule>
  </conditionalFormatting>
  <conditionalFormatting sqref="AM14">
    <cfRule type="expression" priority="574" dxfId="0">
      <formula>=AND(AM4&gt;=D14,AM4&lt;=E14,D14&lt;&gt;"")</formula>
    </cfRule>
  </conditionalFormatting>
  <conditionalFormatting sqref="AN14">
    <cfRule type="expression" priority="575" dxfId="0">
      <formula>=AND(AN4&gt;=D14,AN4&lt;=E14,D14&lt;&gt;"")</formula>
    </cfRule>
  </conditionalFormatting>
  <conditionalFormatting sqref="AO14">
    <cfRule type="expression" priority="576" dxfId="0">
      <formula>=AND(AO4&gt;=D14,AO4&lt;=E14,D14&lt;&gt;"")</formula>
    </cfRule>
  </conditionalFormatting>
  <conditionalFormatting sqref="AP14">
    <cfRule type="expression" priority="577" dxfId="0">
      <formula>=AND(AP4&gt;=D14,AP4&lt;=E14,D14&lt;&gt;"")</formula>
    </cfRule>
  </conditionalFormatting>
  <conditionalFormatting sqref="AQ14">
    <cfRule type="expression" priority="578" dxfId="0">
      <formula>=AND(AQ4&gt;=D14,AQ4&lt;=E14,D14&lt;&gt;"")</formula>
    </cfRule>
  </conditionalFormatting>
  <conditionalFormatting sqref="AR14">
    <cfRule type="expression" priority="579" dxfId="0">
      <formula>=AND(AR4&gt;=D14,AR4&lt;=E14,D14&lt;&gt;"")</formula>
    </cfRule>
  </conditionalFormatting>
  <conditionalFormatting sqref="AS14">
    <cfRule type="expression" priority="580" dxfId="0">
      <formula>=AND(AS4&gt;=D14,AS4&lt;=E14,D14&lt;&gt;"")</formula>
    </cfRule>
  </conditionalFormatting>
  <conditionalFormatting sqref="AT14">
    <cfRule type="expression" priority="581" dxfId="0">
      <formula>=AND(AT4&gt;=D14,AT4&lt;=E14,D14&lt;&gt;"")</formula>
    </cfRule>
  </conditionalFormatting>
  <conditionalFormatting sqref="AU14">
    <cfRule type="expression" priority="582" dxfId="0">
      <formula>=AND(AU4&gt;=D14,AU4&lt;=E14,D14&lt;&gt;"")</formula>
    </cfRule>
  </conditionalFormatting>
  <conditionalFormatting sqref="AV14">
    <cfRule type="expression" priority="583" dxfId="0">
      <formula>=AND(AV4&gt;=D14,AV4&lt;=E14,D14&lt;&gt;"")</formula>
    </cfRule>
  </conditionalFormatting>
  <conditionalFormatting sqref="AW14">
    <cfRule type="expression" priority="584" dxfId="0">
      <formula>=AND(AW4&gt;=D14,AW4&lt;=E14,D14&lt;&gt;"")</formula>
    </cfRule>
  </conditionalFormatting>
  <conditionalFormatting sqref="AX14">
    <cfRule type="expression" priority="585" dxfId="0">
      <formula>=AND(AX4&gt;=D14,AX4&lt;=E14,D14&lt;&gt;"")</formula>
    </cfRule>
  </conditionalFormatting>
  <conditionalFormatting sqref="AY14">
    <cfRule type="expression" priority="586" dxfId="0">
      <formula>=AND(AY4&gt;=D14,AY4&lt;=E14,D14&lt;&gt;"")</formula>
    </cfRule>
  </conditionalFormatting>
  <conditionalFormatting sqref="AZ14">
    <cfRule type="expression" priority="587" dxfId="0">
      <formula>=AND(AZ4&gt;=D14,AZ4&lt;=E14,D14&lt;&gt;"")</formula>
    </cfRule>
  </conditionalFormatting>
  <conditionalFormatting sqref="BA14">
    <cfRule type="expression" priority="588" dxfId="0">
      <formula>=AND(BA4&gt;=D14,BA4&lt;=E14,D14&lt;&gt;"")</formula>
    </cfRule>
  </conditionalFormatting>
  <conditionalFormatting sqref="BB14">
    <cfRule type="expression" priority="589" dxfId="0">
      <formula>=AND(BB4&gt;=D14,BB4&lt;=E14,D14&lt;&gt;"")</formula>
    </cfRule>
  </conditionalFormatting>
  <conditionalFormatting sqref="BC14">
    <cfRule type="expression" priority="590" dxfId="0">
      <formula>=AND(BC4&gt;=D14,BC4&lt;=E14,D14&lt;&gt;"")</formula>
    </cfRule>
  </conditionalFormatting>
  <conditionalFormatting sqref="BD14">
    <cfRule type="expression" priority="591" dxfId="0">
      <formula>=AND(BD4&gt;=D14,BD4&lt;=E14,D14&lt;&gt;"")</formula>
    </cfRule>
  </conditionalFormatting>
  <conditionalFormatting sqref="BE14">
    <cfRule type="expression" priority="592" dxfId="0">
      <formula>=AND(BE4&gt;=D14,BE4&lt;=E14,D14&lt;&gt;"")</formula>
    </cfRule>
  </conditionalFormatting>
  <conditionalFormatting sqref="BF14">
    <cfRule type="expression" priority="593" dxfId="0">
      <formula>=AND(BF4&gt;=D14,BF4&lt;=E14,D14&lt;&gt;"")</formula>
    </cfRule>
  </conditionalFormatting>
  <conditionalFormatting sqref="BG14">
    <cfRule type="expression" priority="594" dxfId="0">
      <formula>=AND(BG4&gt;=D14,BG4&lt;=E14,D14&lt;&gt;"")</formula>
    </cfRule>
  </conditionalFormatting>
  <conditionalFormatting sqref="BH14">
    <cfRule type="expression" priority="595" dxfId="0">
      <formula>=AND(BH4&gt;=D14,BH4&lt;=E14,D14&lt;&gt;"")</formula>
    </cfRule>
  </conditionalFormatting>
  <conditionalFormatting sqref="BI14">
    <cfRule type="expression" priority="596" dxfId="0">
      <formula>=AND(BI4&gt;=D14,BI4&lt;=E14,D14&lt;&gt;"")</formula>
    </cfRule>
  </conditionalFormatting>
  <conditionalFormatting sqref="BJ14">
    <cfRule type="expression" priority="597" dxfId="0">
      <formula>=AND(BJ4&gt;=D14,BJ4&lt;=E14,D14&lt;&gt;"")</formula>
    </cfRule>
  </conditionalFormatting>
  <conditionalFormatting sqref="BK14">
    <cfRule type="expression" priority="598" dxfId="0">
      <formula>=AND(BK4&gt;=D14,BK4&lt;=E14,D14&lt;&gt;"")</formula>
    </cfRule>
  </conditionalFormatting>
  <conditionalFormatting sqref="BL14">
    <cfRule type="expression" priority="599" dxfId="0">
      <formula>=AND(BL4&gt;=D14,BL4&lt;=E14,D14&lt;&gt;"")</formula>
    </cfRule>
  </conditionalFormatting>
  <conditionalFormatting sqref="BM14">
    <cfRule type="expression" priority="600" dxfId="0">
      <formula>=AND(BM4&gt;=D14,BM4&lt;=E14,D14&lt;&gt;"")</formula>
    </cfRule>
  </conditionalFormatting>
  <conditionalFormatting sqref="F15">
    <cfRule type="expression" priority="601" dxfId="0">
      <formula>=AND(F4&gt;=D15,F4&lt;=E15,D15&lt;&gt;"")</formula>
    </cfRule>
  </conditionalFormatting>
  <conditionalFormatting sqref="G15">
    <cfRule type="expression" priority="602" dxfId="0">
      <formula>=AND(G4&gt;=D15,G4&lt;=E15,D15&lt;&gt;"")</formula>
    </cfRule>
  </conditionalFormatting>
  <conditionalFormatting sqref="H15">
    <cfRule type="expression" priority="603" dxfId="0">
      <formula>=AND(H4&gt;=D15,H4&lt;=E15,D15&lt;&gt;"")</formula>
    </cfRule>
  </conditionalFormatting>
  <conditionalFormatting sqref="I15">
    <cfRule type="expression" priority="604" dxfId="0">
      <formula>=AND(I4&gt;=D15,I4&lt;=E15,D15&lt;&gt;"")</formula>
    </cfRule>
  </conditionalFormatting>
  <conditionalFormatting sqref="J15">
    <cfRule type="expression" priority="605" dxfId="0">
      <formula>=AND(J4&gt;=D15,J4&lt;=E15,D15&lt;&gt;"")</formula>
    </cfRule>
  </conditionalFormatting>
  <conditionalFormatting sqref="K15">
    <cfRule type="expression" priority="606" dxfId="0">
      <formula>=AND(K4&gt;=D15,K4&lt;=E15,D15&lt;&gt;"")</formula>
    </cfRule>
  </conditionalFormatting>
  <conditionalFormatting sqref="L15">
    <cfRule type="expression" priority="607" dxfId="0">
      <formula>=AND(L4&gt;=D15,L4&lt;=E15,D15&lt;&gt;"")</formula>
    </cfRule>
  </conditionalFormatting>
  <conditionalFormatting sqref="M15">
    <cfRule type="expression" priority="608" dxfId="0">
      <formula>=AND(M4&gt;=D15,M4&lt;=E15,D15&lt;&gt;"")</formula>
    </cfRule>
  </conditionalFormatting>
  <conditionalFormatting sqref="N15">
    <cfRule type="expression" priority="609" dxfId="0">
      <formula>=AND(N4&gt;=D15,N4&lt;=E15,D15&lt;&gt;"")</formula>
    </cfRule>
  </conditionalFormatting>
  <conditionalFormatting sqref="O15">
    <cfRule type="expression" priority="610" dxfId="0">
      <formula>=AND(O4&gt;=D15,O4&lt;=E15,D15&lt;&gt;"")</formula>
    </cfRule>
  </conditionalFormatting>
  <conditionalFormatting sqref="P15">
    <cfRule type="expression" priority="611" dxfId="0">
      <formula>=AND(P4&gt;=D15,P4&lt;=E15,D15&lt;&gt;"")</formula>
    </cfRule>
  </conditionalFormatting>
  <conditionalFormatting sqref="Q15">
    <cfRule type="expression" priority="612" dxfId="0">
      <formula>=AND(Q4&gt;=D15,Q4&lt;=E15,D15&lt;&gt;"")</formula>
    </cfRule>
  </conditionalFormatting>
  <conditionalFormatting sqref="R15">
    <cfRule type="expression" priority="613" dxfId="0">
      <formula>=AND(R4&gt;=D15,R4&lt;=E15,D15&lt;&gt;"")</formula>
    </cfRule>
  </conditionalFormatting>
  <conditionalFormatting sqref="S15">
    <cfRule type="expression" priority="614" dxfId="0">
      <formula>=AND(S4&gt;=D15,S4&lt;=E15,D15&lt;&gt;"")</formula>
    </cfRule>
  </conditionalFormatting>
  <conditionalFormatting sqref="T15">
    <cfRule type="expression" priority="615" dxfId="0">
      <formula>=AND(T4&gt;=D15,T4&lt;=E15,D15&lt;&gt;"")</formula>
    </cfRule>
  </conditionalFormatting>
  <conditionalFormatting sqref="U15">
    <cfRule type="expression" priority="616" dxfId="0">
      <formula>=AND(U4&gt;=D15,U4&lt;=E15,D15&lt;&gt;"")</formula>
    </cfRule>
  </conditionalFormatting>
  <conditionalFormatting sqref="V15">
    <cfRule type="expression" priority="617" dxfId="0">
      <formula>=AND(V4&gt;=D15,V4&lt;=E15,D15&lt;&gt;"")</formula>
    </cfRule>
  </conditionalFormatting>
  <conditionalFormatting sqref="W15">
    <cfRule type="expression" priority="618" dxfId="0">
      <formula>=AND(W4&gt;=D15,W4&lt;=E15,D15&lt;&gt;"")</formula>
    </cfRule>
  </conditionalFormatting>
  <conditionalFormatting sqref="X15">
    <cfRule type="expression" priority="619" dxfId="0">
      <formula>=AND(X4&gt;=D15,X4&lt;=E15,D15&lt;&gt;"")</formula>
    </cfRule>
  </conditionalFormatting>
  <conditionalFormatting sqref="Y15">
    <cfRule type="expression" priority="620" dxfId="0">
      <formula>=AND(Y4&gt;=D15,Y4&lt;=E15,D15&lt;&gt;"")</formula>
    </cfRule>
  </conditionalFormatting>
  <conditionalFormatting sqref="Z15">
    <cfRule type="expression" priority="621" dxfId="0">
      <formula>=AND(Z4&gt;=D15,Z4&lt;=E15,D15&lt;&gt;"")</formula>
    </cfRule>
  </conditionalFormatting>
  <conditionalFormatting sqref="AA15">
    <cfRule type="expression" priority="622" dxfId="0">
      <formula>=AND(AA4&gt;=D15,AA4&lt;=E15,D15&lt;&gt;"")</formula>
    </cfRule>
  </conditionalFormatting>
  <conditionalFormatting sqref="AB15">
    <cfRule type="expression" priority="623" dxfId="0">
      <formula>=AND(AB4&gt;=D15,AB4&lt;=E15,D15&lt;&gt;"")</formula>
    </cfRule>
  </conditionalFormatting>
  <conditionalFormatting sqref="AC15">
    <cfRule type="expression" priority="624" dxfId="0">
      <formula>=AND(AC4&gt;=D15,AC4&lt;=E15,D15&lt;&gt;"")</formula>
    </cfRule>
  </conditionalFormatting>
  <conditionalFormatting sqref="AD15">
    <cfRule type="expression" priority="625" dxfId="0">
      <formula>=AND(AD4&gt;=D15,AD4&lt;=E15,D15&lt;&gt;"")</formula>
    </cfRule>
  </conditionalFormatting>
  <conditionalFormatting sqref="AE15">
    <cfRule type="expression" priority="626" dxfId="0">
      <formula>=AND(AE4&gt;=D15,AE4&lt;=E15,D15&lt;&gt;"")</formula>
    </cfRule>
  </conditionalFormatting>
  <conditionalFormatting sqref="AF15">
    <cfRule type="expression" priority="627" dxfId="0">
      <formula>=AND(AF4&gt;=D15,AF4&lt;=E15,D15&lt;&gt;"")</formula>
    </cfRule>
  </conditionalFormatting>
  <conditionalFormatting sqref="AG15">
    <cfRule type="expression" priority="628" dxfId="0">
      <formula>=AND(AG4&gt;=D15,AG4&lt;=E15,D15&lt;&gt;"")</formula>
    </cfRule>
  </conditionalFormatting>
  <conditionalFormatting sqref="AH15">
    <cfRule type="expression" priority="629" dxfId="0">
      <formula>=AND(AH4&gt;=D15,AH4&lt;=E15,D15&lt;&gt;"")</formula>
    </cfRule>
  </conditionalFormatting>
  <conditionalFormatting sqref="AI15">
    <cfRule type="expression" priority="630" dxfId="0">
      <formula>=AND(AI4&gt;=D15,AI4&lt;=E15,D15&lt;&gt;"")</formula>
    </cfRule>
  </conditionalFormatting>
  <conditionalFormatting sqref="AJ15">
    <cfRule type="expression" priority="631" dxfId="0">
      <formula>=AND(AJ4&gt;=D15,AJ4&lt;=E15,D15&lt;&gt;"")</formula>
    </cfRule>
  </conditionalFormatting>
  <conditionalFormatting sqref="AK15">
    <cfRule type="expression" priority="632" dxfId="0">
      <formula>=AND(AK4&gt;=D15,AK4&lt;=E15,D15&lt;&gt;"")</formula>
    </cfRule>
  </conditionalFormatting>
  <conditionalFormatting sqref="AL15">
    <cfRule type="expression" priority="633" dxfId="0">
      <formula>=AND(AL4&gt;=D15,AL4&lt;=E15,D15&lt;&gt;"")</formula>
    </cfRule>
  </conditionalFormatting>
  <conditionalFormatting sqref="AM15">
    <cfRule type="expression" priority="634" dxfId="0">
      <formula>=AND(AM4&gt;=D15,AM4&lt;=E15,D15&lt;&gt;"")</formula>
    </cfRule>
  </conditionalFormatting>
  <conditionalFormatting sqref="AN15">
    <cfRule type="expression" priority="635" dxfId="0">
      <formula>=AND(AN4&gt;=D15,AN4&lt;=E15,D15&lt;&gt;"")</formula>
    </cfRule>
  </conditionalFormatting>
  <conditionalFormatting sqref="AO15">
    <cfRule type="expression" priority="636" dxfId="0">
      <formula>=AND(AO4&gt;=D15,AO4&lt;=E15,D15&lt;&gt;"")</formula>
    </cfRule>
  </conditionalFormatting>
  <conditionalFormatting sqref="AP15">
    <cfRule type="expression" priority="637" dxfId="0">
      <formula>=AND(AP4&gt;=D15,AP4&lt;=E15,D15&lt;&gt;"")</formula>
    </cfRule>
  </conditionalFormatting>
  <conditionalFormatting sqref="AQ15">
    <cfRule type="expression" priority="638" dxfId="0">
      <formula>=AND(AQ4&gt;=D15,AQ4&lt;=E15,D15&lt;&gt;"")</formula>
    </cfRule>
  </conditionalFormatting>
  <conditionalFormatting sqref="AR15">
    <cfRule type="expression" priority="639" dxfId="0">
      <formula>=AND(AR4&gt;=D15,AR4&lt;=E15,D15&lt;&gt;"")</formula>
    </cfRule>
  </conditionalFormatting>
  <conditionalFormatting sqref="AS15">
    <cfRule type="expression" priority="640" dxfId="0">
      <formula>=AND(AS4&gt;=D15,AS4&lt;=E15,D15&lt;&gt;"")</formula>
    </cfRule>
  </conditionalFormatting>
  <conditionalFormatting sqref="AT15">
    <cfRule type="expression" priority="641" dxfId="0">
      <formula>=AND(AT4&gt;=D15,AT4&lt;=E15,D15&lt;&gt;"")</formula>
    </cfRule>
  </conditionalFormatting>
  <conditionalFormatting sqref="AU15">
    <cfRule type="expression" priority="642" dxfId="0">
      <formula>=AND(AU4&gt;=D15,AU4&lt;=E15,D15&lt;&gt;"")</formula>
    </cfRule>
  </conditionalFormatting>
  <conditionalFormatting sqref="AV15">
    <cfRule type="expression" priority="643" dxfId="0">
      <formula>=AND(AV4&gt;=D15,AV4&lt;=E15,D15&lt;&gt;"")</formula>
    </cfRule>
  </conditionalFormatting>
  <conditionalFormatting sqref="AW15">
    <cfRule type="expression" priority="644" dxfId="0">
      <formula>=AND(AW4&gt;=D15,AW4&lt;=E15,D15&lt;&gt;"")</formula>
    </cfRule>
  </conditionalFormatting>
  <conditionalFormatting sqref="AX15">
    <cfRule type="expression" priority="645" dxfId="0">
      <formula>=AND(AX4&gt;=D15,AX4&lt;=E15,D15&lt;&gt;"")</formula>
    </cfRule>
  </conditionalFormatting>
  <conditionalFormatting sqref="AY15">
    <cfRule type="expression" priority="646" dxfId="0">
      <formula>=AND(AY4&gt;=D15,AY4&lt;=E15,D15&lt;&gt;"")</formula>
    </cfRule>
  </conditionalFormatting>
  <conditionalFormatting sqref="AZ15">
    <cfRule type="expression" priority="647" dxfId="0">
      <formula>=AND(AZ4&gt;=D15,AZ4&lt;=E15,D15&lt;&gt;"")</formula>
    </cfRule>
  </conditionalFormatting>
  <conditionalFormatting sqref="BA15">
    <cfRule type="expression" priority="648" dxfId="0">
      <formula>=AND(BA4&gt;=D15,BA4&lt;=E15,D15&lt;&gt;"")</formula>
    </cfRule>
  </conditionalFormatting>
  <conditionalFormatting sqref="BB15">
    <cfRule type="expression" priority="649" dxfId="0">
      <formula>=AND(BB4&gt;=D15,BB4&lt;=E15,D15&lt;&gt;"")</formula>
    </cfRule>
  </conditionalFormatting>
  <conditionalFormatting sqref="BC15">
    <cfRule type="expression" priority="650" dxfId="0">
      <formula>=AND(BC4&gt;=D15,BC4&lt;=E15,D15&lt;&gt;"")</formula>
    </cfRule>
  </conditionalFormatting>
  <conditionalFormatting sqref="BD15">
    <cfRule type="expression" priority="651" dxfId="0">
      <formula>=AND(BD4&gt;=D15,BD4&lt;=E15,D15&lt;&gt;"")</formula>
    </cfRule>
  </conditionalFormatting>
  <conditionalFormatting sqref="BE15">
    <cfRule type="expression" priority="652" dxfId="0">
      <formula>=AND(BE4&gt;=D15,BE4&lt;=E15,D15&lt;&gt;"")</formula>
    </cfRule>
  </conditionalFormatting>
  <conditionalFormatting sqref="BF15">
    <cfRule type="expression" priority="653" dxfId="0">
      <formula>=AND(BF4&gt;=D15,BF4&lt;=E15,D15&lt;&gt;"")</formula>
    </cfRule>
  </conditionalFormatting>
  <conditionalFormatting sqref="BG15">
    <cfRule type="expression" priority="654" dxfId="0">
      <formula>=AND(BG4&gt;=D15,BG4&lt;=E15,D15&lt;&gt;"")</formula>
    </cfRule>
  </conditionalFormatting>
  <conditionalFormatting sqref="BH15">
    <cfRule type="expression" priority="655" dxfId="0">
      <formula>=AND(BH4&gt;=D15,BH4&lt;=E15,D15&lt;&gt;"")</formula>
    </cfRule>
  </conditionalFormatting>
  <conditionalFormatting sqref="BI15">
    <cfRule type="expression" priority="656" dxfId="0">
      <formula>=AND(BI4&gt;=D15,BI4&lt;=E15,D15&lt;&gt;"")</formula>
    </cfRule>
  </conditionalFormatting>
  <conditionalFormatting sqref="BJ15">
    <cfRule type="expression" priority="657" dxfId="0">
      <formula>=AND(BJ4&gt;=D15,BJ4&lt;=E15,D15&lt;&gt;"")</formula>
    </cfRule>
  </conditionalFormatting>
  <conditionalFormatting sqref="BK15">
    <cfRule type="expression" priority="658" dxfId="0">
      <formula>=AND(BK4&gt;=D15,BK4&lt;=E15,D15&lt;&gt;"")</formula>
    </cfRule>
  </conditionalFormatting>
  <conditionalFormatting sqref="BL15">
    <cfRule type="expression" priority="659" dxfId="0">
      <formula>=AND(BL4&gt;=D15,BL4&lt;=E15,D15&lt;&gt;"")</formula>
    </cfRule>
  </conditionalFormatting>
  <conditionalFormatting sqref="BM15">
    <cfRule type="expression" priority="660" dxfId="0">
      <formula>=AND(BM4&gt;=D15,BM4&lt;=E15,D15&lt;&gt;"")</formula>
    </cfRule>
  </conditionalFormatting>
  <conditionalFormatting sqref="F16">
    <cfRule type="expression" priority="661" dxfId="0">
      <formula>=AND(F4&gt;=D16,F4&lt;=E16,D16&lt;&gt;"")</formula>
    </cfRule>
  </conditionalFormatting>
  <conditionalFormatting sqref="G16">
    <cfRule type="expression" priority="662" dxfId="0">
      <formula>=AND(G4&gt;=D16,G4&lt;=E16,D16&lt;&gt;"")</formula>
    </cfRule>
  </conditionalFormatting>
  <conditionalFormatting sqref="H16">
    <cfRule type="expression" priority="663" dxfId="0">
      <formula>=AND(H4&gt;=D16,H4&lt;=E16,D16&lt;&gt;"")</formula>
    </cfRule>
  </conditionalFormatting>
  <conditionalFormatting sqref="I16">
    <cfRule type="expression" priority="664" dxfId="0">
      <formula>=AND(I4&gt;=D16,I4&lt;=E16,D16&lt;&gt;"")</formula>
    </cfRule>
  </conditionalFormatting>
  <conditionalFormatting sqref="J16">
    <cfRule type="expression" priority="665" dxfId="0">
      <formula>=AND(J4&gt;=D16,J4&lt;=E16,D16&lt;&gt;"")</formula>
    </cfRule>
  </conditionalFormatting>
  <conditionalFormatting sqref="K16">
    <cfRule type="expression" priority="666" dxfId="0">
      <formula>=AND(K4&gt;=D16,K4&lt;=E16,D16&lt;&gt;"")</formula>
    </cfRule>
  </conditionalFormatting>
  <conditionalFormatting sqref="L16">
    <cfRule type="expression" priority="667" dxfId="0">
      <formula>=AND(L4&gt;=D16,L4&lt;=E16,D16&lt;&gt;"")</formula>
    </cfRule>
  </conditionalFormatting>
  <conditionalFormatting sqref="M16">
    <cfRule type="expression" priority="668" dxfId="0">
      <formula>=AND(M4&gt;=D16,M4&lt;=E16,D16&lt;&gt;"")</formula>
    </cfRule>
  </conditionalFormatting>
  <conditionalFormatting sqref="N16">
    <cfRule type="expression" priority="669" dxfId="0">
      <formula>=AND(N4&gt;=D16,N4&lt;=E16,D16&lt;&gt;"")</formula>
    </cfRule>
  </conditionalFormatting>
  <conditionalFormatting sqref="O16">
    <cfRule type="expression" priority="670" dxfId="0">
      <formula>=AND(O4&gt;=D16,O4&lt;=E16,D16&lt;&gt;"")</formula>
    </cfRule>
  </conditionalFormatting>
  <conditionalFormatting sqref="P16">
    <cfRule type="expression" priority="671" dxfId="0">
      <formula>=AND(P4&gt;=D16,P4&lt;=E16,D16&lt;&gt;"")</formula>
    </cfRule>
  </conditionalFormatting>
  <conditionalFormatting sqref="Q16">
    <cfRule type="expression" priority="672" dxfId="0">
      <formula>=AND(Q4&gt;=D16,Q4&lt;=E16,D16&lt;&gt;"")</formula>
    </cfRule>
  </conditionalFormatting>
  <conditionalFormatting sqref="R16">
    <cfRule type="expression" priority="673" dxfId="0">
      <formula>=AND(R4&gt;=D16,R4&lt;=E16,D16&lt;&gt;"")</formula>
    </cfRule>
  </conditionalFormatting>
  <conditionalFormatting sqref="S16">
    <cfRule type="expression" priority="674" dxfId="0">
      <formula>=AND(S4&gt;=D16,S4&lt;=E16,D16&lt;&gt;"")</formula>
    </cfRule>
  </conditionalFormatting>
  <conditionalFormatting sqref="T16">
    <cfRule type="expression" priority="675" dxfId="0">
      <formula>=AND(T4&gt;=D16,T4&lt;=E16,D16&lt;&gt;"")</formula>
    </cfRule>
  </conditionalFormatting>
  <conditionalFormatting sqref="U16">
    <cfRule type="expression" priority="676" dxfId="0">
      <formula>=AND(U4&gt;=D16,U4&lt;=E16,D16&lt;&gt;"")</formula>
    </cfRule>
  </conditionalFormatting>
  <conditionalFormatting sqref="V16">
    <cfRule type="expression" priority="677" dxfId="0">
      <formula>=AND(V4&gt;=D16,V4&lt;=E16,D16&lt;&gt;"")</formula>
    </cfRule>
  </conditionalFormatting>
  <conditionalFormatting sqref="W16">
    <cfRule type="expression" priority="678" dxfId="0">
      <formula>=AND(W4&gt;=D16,W4&lt;=E16,D16&lt;&gt;"")</formula>
    </cfRule>
  </conditionalFormatting>
  <conditionalFormatting sqref="X16">
    <cfRule type="expression" priority="679" dxfId="0">
      <formula>=AND(X4&gt;=D16,X4&lt;=E16,D16&lt;&gt;"")</formula>
    </cfRule>
  </conditionalFormatting>
  <conditionalFormatting sqref="Y16">
    <cfRule type="expression" priority="680" dxfId="0">
      <formula>=AND(Y4&gt;=D16,Y4&lt;=E16,D16&lt;&gt;"")</formula>
    </cfRule>
  </conditionalFormatting>
  <conditionalFormatting sqref="Z16">
    <cfRule type="expression" priority="681" dxfId="0">
      <formula>=AND(Z4&gt;=D16,Z4&lt;=E16,D16&lt;&gt;"")</formula>
    </cfRule>
  </conditionalFormatting>
  <conditionalFormatting sqref="AA16">
    <cfRule type="expression" priority="682" dxfId="0">
      <formula>=AND(AA4&gt;=D16,AA4&lt;=E16,D16&lt;&gt;"")</formula>
    </cfRule>
  </conditionalFormatting>
  <conditionalFormatting sqref="AB16">
    <cfRule type="expression" priority="683" dxfId="0">
      <formula>=AND(AB4&gt;=D16,AB4&lt;=E16,D16&lt;&gt;"")</formula>
    </cfRule>
  </conditionalFormatting>
  <conditionalFormatting sqref="AC16">
    <cfRule type="expression" priority="684" dxfId="0">
      <formula>=AND(AC4&gt;=D16,AC4&lt;=E16,D16&lt;&gt;"")</formula>
    </cfRule>
  </conditionalFormatting>
  <conditionalFormatting sqref="AD16">
    <cfRule type="expression" priority="685" dxfId="0">
      <formula>=AND(AD4&gt;=D16,AD4&lt;=E16,D16&lt;&gt;"")</formula>
    </cfRule>
  </conditionalFormatting>
  <conditionalFormatting sqref="AE16">
    <cfRule type="expression" priority="686" dxfId="0">
      <formula>=AND(AE4&gt;=D16,AE4&lt;=E16,D16&lt;&gt;"")</formula>
    </cfRule>
  </conditionalFormatting>
  <conditionalFormatting sqref="AF16">
    <cfRule type="expression" priority="687" dxfId="0">
      <formula>=AND(AF4&gt;=D16,AF4&lt;=E16,D16&lt;&gt;"")</formula>
    </cfRule>
  </conditionalFormatting>
  <conditionalFormatting sqref="AG16">
    <cfRule type="expression" priority="688" dxfId="0">
      <formula>=AND(AG4&gt;=D16,AG4&lt;=E16,D16&lt;&gt;"")</formula>
    </cfRule>
  </conditionalFormatting>
  <conditionalFormatting sqref="AH16">
    <cfRule type="expression" priority="689" dxfId="0">
      <formula>=AND(AH4&gt;=D16,AH4&lt;=E16,D16&lt;&gt;"")</formula>
    </cfRule>
  </conditionalFormatting>
  <conditionalFormatting sqref="AI16">
    <cfRule type="expression" priority="690" dxfId="0">
      <formula>=AND(AI4&gt;=D16,AI4&lt;=E16,D16&lt;&gt;"")</formula>
    </cfRule>
  </conditionalFormatting>
  <conditionalFormatting sqref="AJ16">
    <cfRule type="expression" priority="691" dxfId="0">
      <formula>=AND(AJ4&gt;=D16,AJ4&lt;=E16,D16&lt;&gt;"")</formula>
    </cfRule>
  </conditionalFormatting>
  <conditionalFormatting sqref="AK16">
    <cfRule type="expression" priority="692" dxfId="0">
      <formula>=AND(AK4&gt;=D16,AK4&lt;=E16,D16&lt;&gt;"")</formula>
    </cfRule>
  </conditionalFormatting>
  <conditionalFormatting sqref="AL16">
    <cfRule type="expression" priority="693" dxfId="0">
      <formula>=AND(AL4&gt;=D16,AL4&lt;=E16,D16&lt;&gt;"")</formula>
    </cfRule>
  </conditionalFormatting>
  <conditionalFormatting sqref="AM16">
    <cfRule type="expression" priority="694" dxfId="0">
      <formula>=AND(AM4&gt;=D16,AM4&lt;=E16,D16&lt;&gt;"")</formula>
    </cfRule>
  </conditionalFormatting>
  <conditionalFormatting sqref="AN16">
    <cfRule type="expression" priority="695" dxfId="0">
      <formula>=AND(AN4&gt;=D16,AN4&lt;=E16,D16&lt;&gt;"")</formula>
    </cfRule>
  </conditionalFormatting>
  <conditionalFormatting sqref="AO16">
    <cfRule type="expression" priority="696" dxfId="0">
      <formula>=AND(AO4&gt;=D16,AO4&lt;=E16,D16&lt;&gt;"")</formula>
    </cfRule>
  </conditionalFormatting>
  <conditionalFormatting sqref="AP16">
    <cfRule type="expression" priority="697" dxfId="0">
      <formula>=AND(AP4&gt;=D16,AP4&lt;=E16,D16&lt;&gt;"")</formula>
    </cfRule>
  </conditionalFormatting>
  <conditionalFormatting sqref="AQ16">
    <cfRule type="expression" priority="698" dxfId="0">
      <formula>=AND(AQ4&gt;=D16,AQ4&lt;=E16,D16&lt;&gt;"")</formula>
    </cfRule>
  </conditionalFormatting>
  <conditionalFormatting sqref="AR16">
    <cfRule type="expression" priority="699" dxfId="0">
      <formula>=AND(AR4&gt;=D16,AR4&lt;=E16,D16&lt;&gt;"")</formula>
    </cfRule>
  </conditionalFormatting>
  <conditionalFormatting sqref="AS16">
    <cfRule type="expression" priority="700" dxfId="0">
      <formula>=AND(AS4&gt;=D16,AS4&lt;=E16,D16&lt;&gt;"")</formula>
    </cfRule>
  </conditionalFormatting>
  <conditionalFormatting sqref="AT16">
    <cfRule type="expression" priority="701" dxfId="0">
      <formula>=AND(AT4&gt;=D16,AT4&lt;=E16,D16&lt;&gt;"")</formula>
    </cfRule>
  </conditionalFormatting>
  <conditionalFormatting sqref="AU16">
    <cfRule type="expression" priority="702" dxfId="0">
      <formula>=AND(AU4&gt;=D16,AU4&lt;=E16,D16&lt;&gt;"")</formula>
    </cfRule>
  </conditionalFormatting>
  <conditionalFormatting sqref="AV16">
    <cfRule type="expression" priority="703" dxfId="0">
      <formula>=AND(AV4&gt;=D16,AV4&lt;=E16,D16&lt;&gt;"")</formula>
    </cfRule>
  </conditionalFormatting>
  <conditionalFormatting sqref="AW16">
    <cfRule type="expression" priority="704" dxfId="0">
      <formula>=AND(AW4&gt;=D16,AW4&lt;=E16,D16&lt;&gt;"")</formula>
    </cfRule>
  </conditionalFormatting>
  <conditionalFormatting sqref="AX16">
    <cfRule type="expression" priority="705" dxfId="0">
      <formula>=AND(AX4&gt;=D16,AX4&lt;=E16,D16&lt;&gt;"")</formula>
    </cfRule>
  </conditionalFormatting>
  <conditionalFormatting sqref="AY16">
    <cfRule type="expression" priority="706" dxfId="0">
      <formula>=AND(AY4&gt;=D16,AY4&lt;=E16,D16&lt;&gt;"")</formula>
    </cfRule>
  </conditionalFormatting>
  <conditionalFormatting sqref="AZ16">
    <cfRule type="expression" priority="707" dxfId="0">
      <formula>=AND(AZ4&gt;=D16,AZ4&lt;=E16,D16&lt;&gt;"")</formula>
    </cfRule>
  </conditionalFormatting>
  <conditionalFormatting sqref="BA16">
    <cfRule type="expression" priority="708" dxfId="0">
      <formula>=AND(BA4&gt;=D16,BA4&lt;=E16,D16&lt;&gt;"")</formula>
    </cfRule>
  </conditionalFormatting>
  <conditionalFormatting sqref="BB16">
    <cfRule type="expression" priority="709" dxfId="0">
      <formula>=AND(BB4&gt;=D16,BB4&lt;=E16,D16&lt;&gt;"")</formula>
    </cfRule>
  </conditionalFormatting>
  <conditionalFormatting sqref="BC16">
    <cfRule type="expression" priority="710" dxfId="0">
      <formula>=AND(BC4&gt;=D16,BC4&lt;=E16,D16&lt;&gt;"")</formula>
    </cfRule>
  </conditionalFormatting>
  <conditionalFormatting sqref="BD16">
    <cfRule type="expression" priority="711" dxfId="0">
      <formula>=AND(BD4&gt;=D16,BD4&lt;=E16,D16&lt;&gt;"")</formula>
    </cfRule>
  </conditionalFormatting>
  <conditionalFormatting sqref="BE16">
    <cfRule type="expression" priority="712" dxfId="0">
      <formula>=AND(BE4&gt;=D16,BE4&lt;=E16,D16&lt;&gt;"")</formula>
    </cfRule>
  </conditionalFormatting>
  <conditionalFormatting sqref="BF16">
    <cfRule type="expression" priority="713" dxfId="0">
      <formula>=AND(BF4&gt;=D16,BF4&lt;=E16,D16&lt;&gt;"")</formula>
    </cfRule>
  </conditionalFormatting>
  <conditionalFormatting sqref="BG16">
    <cfRule type="expression" priority="714" dxfId="0">
      <formula>=AND(BG4&gt;=D16,BG4&lt;=E16,D16&lt;&gt;"")</formula>
    </cfRule>
  </conditionalFormatting>
  <conditionalFormatting sqref="BH16">
    <cfRule type="expression" priority="715" dxfId="0">
      <formula>=AND(BH4&gt;=D16,BH4&lt;=E16,D16&lt;&gt;"")</formula>
    </cfRule>
  </conditionalFormatting>
  <conditionalFormatting sqref="BI16">
    <cfRule type="expression" priority="716" dxfId="0">
      <formula>=AND(BI4&gt;=D16,BI4&lt;=E16,D16&lt;&gt;"")</formula>
    </cfRule>
  </conditionalFormatting>
  <conditionalFormatting sqref="BJ16">
    <cfRule type="expression" priority="717" dxfId="0">
      <formula>=AND(BJ4&gt;=D16,BJ4&lt;=E16,D16&lt;&gt;"")</formula>
    </cfRule>
  </conditionalFormatting>
  <conditionalFormatting sqref="BK16">
    <cfRule type="expression" priority="718" dxfId="0">
      <formula>=AND(BK4&gt;=D16,BK4&lt;=E16,D16&lt;&gt;"")</formula>
    </cfRule>
  </conditionalFormatting>
  <conditionalFormatting sqref="BL16">
    <cfRule type="expression" priority="719" dxfId="0">
      <formula>=AND(BL4&gt;=D16,BL4&lt;=E16,D16&lt;&gt;"")</formula>
    </cfRule>
  </conditionalFormatting>
  <conditionalFormatting sqref="BM16">
    <cfRule type="expression" priority="720" dxfId="0">
      <formula>=AND(BM4&gt;=D16,BM4&lt;=E16,D16&lt;&gt;"")</formula>
    </cfRule>
  </conditionalFormatting>
  <conditionalFormatting sqref="F17">
    <cfRule type="expression" priority="721" dxfId="0">
      <formula>=AND(F4&gt;=D17,F4&lt;=E17,D17&lt;&gt;"")</formula>
    </cfRule>
  </conditionalFormatting>
  <conditionalFormatting sqref="G17">
    <cfRule type="expression" priority="722" dxfId="0">
      <formula>=AND(G4&gt;=D17,G4&lt;=E17,D17&lt;&gt;"")</formula>
    </cfRule>
  </conditionalFormatting>
  <conditionalFormatting sqref="H17">
    <cfRule type="expression" priority="723" dxfId="0">
      <formula>=AND(H4&gt;=D17,H4&lt;=E17,D17&lt;&gt;"")</formula>
    </cfRule>
  </conditionalFormatting>
  <conditionalFormatting sqref="I17">
    <cfRule type="expression" priority="724" dxfId="0">
      <formula>=AND(I4&gt;=D17,I4&lt;=E17,D17&lt;&gt;"")</formula>
    </cfRule>
  </conditionalFormatting>
  <conditionalFormatting sqref="J17">
    <cfRule type="expression" priority="725" dxfId="0">
      <formula>=AND(J4&gt;=D17,J4&lt;=E17,D17&lt;&gt;"")</formula>
    </cfRule>
  </conditionalFormatting>
  <conditionalFormatting sqref="K17">
    <cfRule type="expression" priority="726" dxfId="0">
      <formula>=AND(K4&gt;=D17,K4&lt;=E17,D17&lt;&gt;"")</formula>
    </cfRule>
  </conditionalFormatting>
  <conditionalFormatting sqref="L17">
    <cfRule type="expression" priority="727" dxfId="0">
      <formula>=AND(L4&gt;=D17,L4&lt;=E17,D17&lt;&gt;"")</formula>
    </cfRule>
  </conditionalFormatting>
  <conditionalFormatting sqref="M17">
    <cfRule type="expression" priority="728" dxfId="0">
      <formula>=AND(M4&gt;=D17,M4&lt;=E17,D17&lt;&gt;"")</formula>
    </cfRule>
  </conditionalFormatting>
  <conditionalFormatting sqref="N17">
    <cfRule type="expression" priority="729" dxfId="0">
      <formula>=AND(N4&gt;=D17,N4&lt;=E17,D17&lt;&gt;"")</formula>
    </cfRule>
  </conditionalFormatting>
  <conditionalFormatting sqref="O17">
    <cfRule type="expression" priority="730" dxfId="0">
      <formula>=AND(O4&gt;=D17,O4&lt;=E17,D17&lt;&gt;"")</formula>
    </cfRule>
  </conditionalFormatting>
  <conditionalFormatting sqref="P17">
    <cfRule type="expression" priority="731" dxfId="0">
      <formula>=AND(P4&gt;=D17,P4&lt;=E17,D17&lt;&gt;"")</formula>
    </cfRule>
  </conditionalFormatting>
  <conditionalFormatting sqref="Q17">
    <cfRule type="expression" priority="732" dxfId="0">
      <formula>=AND(Q4&gt;=D17,Q4&lt;=E17,D17&lt;&gt;"")</formula>
    </cfRule>
  </conditionalFormatting>
  <conditionalFormatting sqref="R17">
    <cfRule type="expression" priority="733" dxfId="0">
      <formula>=AND(R4&gt;=D17,R4&lt;=E17,D17&lt;&gt;"")</formula>
    </cfRule>
  </conditionalFormatting>
  <conditionalFormatting sqref="S17">
    <cfRule type="expression" priority="734" dxfId="0">
      <formula>=AND(S4&gt;=D17,S4&lt;=E17,D17&lt;&gt;"")</formula>
    </cfRule>
  </conditionalFormatting>
  <conditionalFormatting sqref="T17">
    <cfRule type="expression" priority="735" dxfId="0">
      <formula>=AND(T4&gt;=D17,T4&lt;=E17,D17&lt;&gt;"")</formula>
    </cfRule>
  </conditionalFormatting>
  <conditionalFormatting sqref="U17">
    <cfRule type="expression" priority="736" dxfId="0">
      <formula>=AND(U4&gt;=D17,U4&lt;=E17,D17&lt;&gt;"")</formula>
    </cfRule>
  </conditionalFormatting>
  <conditionalFormatting sqref="V17">
    <cfRule type="expression" priority="737" dxfId="0">
      <formula>=AND(V4&gt;=D17,V4&lt;=E17,D17&lt;&gt;"")</formula>
    </cfRule>
  </conditionalFormatting>
  <conditionalFormatting sqref="W17">
    <cfRule type="expression" priority="738" dxfId="0">
      <formula>=AND(W4&gt;=D17,W4&lt;=E17,D17&lt;&gt;"")</formula>
    </cfRule>
  </conditionalFormatting>
  <conditionalFormatting sqref="X17">
    <cfRule type="expression" priority="739" dxfId="0">
      <formula>=AND(X4&gt;=D17,X4&lt;=E17,D17&lt;&gt;"")</formula>
    </cfRule>
  </conditionalFormatting>
  <conditionalFormatting sqref="Y17">
    <cfRule type="expression" priority="740" dxfId="0">
      <formula>=AND(Y4&gt;=D17,Y4&lt;=E17,D17&lt;&gt;"")</formula>
    </cfRule>
  </conditionalFormatting>
  <conditionalFormatting sqref="Z17">
    <cfRule type="expression" priority="741" dxfId="0">
      <formula>=AND(Z4&gt;=D17,Z4&lt;=E17,D17&lt;&gt;"")</formula>
    </cfRule>
  </conditionalFormatting>
  <conditionalFormatting sqref="AA17">
    <cfRule type="expression" priority="742" dxfId="0">
      <formula>=AND(AA4&gt;=D17,AA4&lt;=E17,D17&lt;&gt;"")</formula>
    </cfRule>
  </conditionalFormatting>
  <conditionalFormatting sqref="AB17">
    <cfRule type="expression" priority="743" dxfId="0">
      <formula>=AND(AB4&gt;=D17,AB4&lt;=E17,D17&lt;&gt;"")</formula>
    </cfRule>
  </conditionalFormatting>
  <conditionalFormatting sqref="AC17">
    <cfRule type="expression" priority="744" dxfId="0">
      <formula>=AND(AC4&gt;=D17,AC4&lt;=E17,D17&lt;&gt;"")</formula>
    </cfRule>
  </conditionalFormatting>
  <conditionalFormatting sqref="AD17">
    <cfRule type="expression" priority="745" dxfId="0">
      <formula>=AND(AD4&gt;=D17,AD4&lt;=E17,D17&lt;&gt;"")</formula>
    </cfRule>
  </conditionalFormatting>
  <conditionalFormatting sqref="AE17">
    <cfRule type="expression" priority="746" dxfId="0">
      <formula>=AND(AE4&gt;=D17,AE4&lt;=E17,D17&lt;&gt;"")</formula>
    </cfRule>
  </conditionalFormatting>
  <conditionalFormatting sqref="AF17">
    <cfRule type="expression" priority="747" dxfId="0">
      <formula>=AND(AF4&gt;=D17,AF4&lt;=E17,D17&lt;&gt;"")</formula>
    </cfRule>
  </conditionalFormatting>
  <conditionalFormatting sqref="AG17">
    <cfRule type="expression" priority="748" dxfId="0">
      <formula>=AND(AG4&gt;=D17,AG4&lt;=E17,D17&lt;&gt;"")</formula>
    </cfRule>
  </conditionalFormatting>
  <conditionalFormatting sqref="AH17">
    <cfRule type="expression" priority="749" dxfId="0">
      <formula>=AND(AH4&gt;=D17,AH4&lt;=E17,D17&lt;&gt;"")</formula>
    </cfRule>
  </conditionalFormatting>
  <conditionalFormatting sqref="AI17">
    <cfRule type="expression" priority="750" dxfId="0">
      <formula>=AND(AI4&gt;=D17,AI4&lt;=E17,D17&lt;&gt;"")</formula>
    </cfRule>
  </conditionalFormatting>
  <conditionalFormatting sqref="AJ17">
    <cfRule type="expression" priority="751" dxfId="0">
      <formula>=AND(AJ4&gt;=D17,AJ4&lt;=E17,D17&lt;&gt;"")</formula>
    </cfRule>
  </conditionalFormatting>
  <conditionalFormatting sqref="AK17">
    <cfRule type="expression" priority="752" dxfId="0">
      <formula>=AND(AK4&gt;=D17,AK4&lt;=E17,D17&lt;&gt;"")</formula>
    </cfRule>
  </conditionalFormatting>
  <conditionalFormatting sqref="AL17">
    <cfRule type="expression" priority="753" dxfId="0">
      <formula>=AND(AL4&gt;=D17,AL4&lt;=E17,D17&lt;&gt;"")</formula>
    </cfRule>
  </conditionalFormatting>
  <conditionalFormatting sqref="AM17">
    <cfRule type="expression" priority="754" dxfId="0">
      <formula>=AND(AM4&gt;=D17,AM4&lt;=E17,D17&lt;&gt;"")</formula>
    </cfRule>
  </conditionalFormatting>
  <conditionalFormatting sqref="AN17">
    <cfRule type="expression" priority="755" dxfId="0">
      <formula>=AND(AN4&gt;=D17,AN4&lt;=E17,D17&lt;&gt;"")</formula>
    </cfRule>
  </conditionalFormatting>
  <conditionalFormatting sqref="AO17">
    <cfRule type="expression" priority="756" dxfId="0">
      <formula>=AND(AO4&gt;=D17,AO4&lt;=E17,D17&lt;&gt;"")</formula>
    </cfRule>
  </conditionalFormatting>
  <conditionalFormatting sqref="AP17">
    <cfRule type="expression" priority="757" dxfId="0">
      <formula>=AND(AP4&gt;=D17,AP4&lt;=E17,D17&lt;&gt;"")</formula>
    </cfRule>
  </conditionalFormatting>
  <conditionalFormatting sqref="AQ17">
    <cfRule type="expression" priority="758" dxfId="0">
      <formula>=AND(AQ4&gt;=D17,AQ4&lt;=E17,D17&lt;&gt;"")</formula>
    </cfRule>
  </conditionalFormatting>
  <conditionalFormatting sqref="AR17">
    <cfRule type="expression" priority="759" dxfId="0">
      <formula>=AND(AR4&gt;=D17,AR4&lt;=E17,D17&lt;&gt;"")</formula>
    </cfRule>
  </conditionalFormatting>
  <conditionalFormatting sqref="AS17">
    <cfRule type="expression" priority="760" dxfId="0">
      <formula>=AND(AS4&gt;=D17,AS4&lt;=E17,D17&lt;&gt;"")</formula>
    </cfRule>
  </conditionalFormatting>
  <conditionalFormatting sqref="AT17">
    <cfRule type="expression" priority="761" dxfId="0">
      <formula>=AND(AT4&gt;=D17,AT4&lt;=E17,D17&lt;&gt;"")</formula>
    </cfRule>
  </conditionalFormatting>
  <conditionalFormatting sqref="AU17">
    <cfRule type="expression" priority="762" dxfId="0">
      <formula>=AND(AU4&gt;=D17,AU4&lt;=E17,D17&lt;&gt;"")</formula>
    </cfRule>
  </conditionalFormatting>
  <conditionalFormatting sqref="AV17">
    <cfRule type="expression" priority="763" dxfId="0">
      <formula>=AND(AV4&gt;=D17,AV4&lt;=E17,D17&lt;&gt;"")</formula>
    </cfRule>
  </conditionalFormatting>
  <conditionalFormatting sqref="AW17">
    <cfRule type="expression" priority="764" dxfId="0">
      <formula>=AND(AW4&gt;=D17,AW4&lt;=E17,D17&lt;&gt;"")</formula>
    </cfRule>
  </conditionalFormatting>
  <conditionalFormatting sqref="AX17">
    <cfRule type="expression" priority="765" dxfId="0">
      <formula>=AND(AX4&gt;=D17,AX4&lt;=E17,D17&lt;&gt;"")</formula>
    </cfRule>
  </conditionalFormatting>
  <conditionalFormatting sqref="AY17">
    <cfRule type="expression" priority="766" dxfId="0">
      <formula>=AND(AY4&gt;=D17,AY4&lt;=E17,D17&lt;&gt;"")</formula>
    </cfRule>
  </conditionalFormatting>
  <conditionalFormatting sqref="AZ17">
    <cfRule type="expression" priority="767" dxfId="0">
      <formula>=AND(AZ4&gt;=D17,AZ4&lt;=E17,D17&lt;&gt;"")</formula>
    </cfRule>
  </conditionalFormatting>
  <conditionalFormatting sqref="BA17">
    <cfRule type="expression" priority="768" dxfId="0">
      <formula>=AND(BA4&gt;=D17,BA4&lt;=E17,D17&lt;&gt;"")</formula>
    </cfRule>
  </conditionalFormatting>
  <conditionalFormatting sqref="BB17">
    <cfRule type="expression" priority="769" dxfId="0">
      <formula>=AND(BB4&gt;=D17,BB4&lt;=E17,D17&lt;&gt;"")</formula>
    </cfRule>
  </conditionalFormatting>
  <conditionalFormatting sqref="BC17">
    <cfRule type="expression" priority="770" dxfId="0">
      <formula>=AND(BC4&gt;=D17,BC4&lt;=E17,D17&lt;&gt;"")</formula>
    </cfRule>
  </conditionalFormatting>
  <conditionalFormatting sqref="BD17">
    <cfRule type="expression" priority="771" dxfId="0">
      <formula>=AND(BD4&gt;=D17,BD4&lt;=E17,D17&lt;&gt;"")</formula>
    </cfRule>
  </conditionalFormatting>
  <conditionalFormatting sqref="BE17">
    <cfRule type="expression" priority="772" dxfId="0">
      <formula>=AND(BE4&gt;=D17,BE4&lt;=E17,D17&lt;&gt;"")</formula>
    </cfRule>
  </conditionalFormatting>
  <conditionalFormatting sqref="BF17">
    <cfRule type="expression" priority="773" dxfId="0">
      <formula>=AND(BF4&gt;=D17,BF4&lt;=E17,D17&lt;&gt;"")</formula>
    </cfRule>
  </conditionalFormatting>
  <conditionalFormatting sqref="BG17">
    <cfRule type="expression" priority="774" dxfId="0">
      <formula>=AND(BG4&gt;=D17,BG4&lt;=E17,D17&lt;&gt;"")</formula>
    </cfRule>
  </conditionalFormatting>
  <conditionalFormatting sqref="BH17">
    <cfRule type="expression" priority="775" dxfId="0">
      <formula>=AND(BH4&gt;=D17,BH4&lt;=E17,D17&lt;&gt;"")</formula>
    </cfRule>
  </conditionalFormatting>
  <conditionalFormatting sqref="BI17">
    <cfRule type="expression" priority="776" dxfId="0">
      <formula>=AND(BI4&gt;=D17,BI4&lt;=E17,D17&lt;&gt;"")</formula>
    </cfRule>
  </conditionalFormatting>
  <conditionalFormatting sqref="BJ17">
    <cfRule type="expression" priority="777" dxfId="0">
      <formula>=AND(BJ4&gt;=D17,BJ4&lt;=E17,D17&lt;&gt;"")</formula>
    </cfRule>
  </conditionalFormatting>
  <conditionalFormatting sqref="BK17">
    <cfRule type="expression" priority="778" dxfId="0">
      <formula>=AND(BK4&gt;=D17,BK4&lt;=E17,D17&lt;&gt;"")</formula>
    </cfRule>
  </conditionalFormatting>
  <conditionalFormatting sqref="BL17">
    <cfRule type="expression" priority="779" dxfId="0">
      <formula>=AND(BL4&gt;=D17,BL4&lt;=E17,D17&lt;&gt;"")</formula>
    </cfRule>
  </conditionalFormatting>
  <conditionalFormatting sqref="BM17">
    <cfRule type="expression" priority="780" dxfId="0">
      <formula>=AND(BM4&gt;=D17,BM4&lt;=E17,D17&lt;&gt;"")</formula>
    </cfRule>
  </conditionalFormatting>
  <conditionalFormatting sqref="F18">
    <cfRule type="expression" priority="781" dxfId="0">
      <formula>=AND(F4&gt;=D18,F4&lt;=E18,D18&lt;&gt;"")</formula>
    </cfRule>
  </conditionalFormatting>
  <conditionalFormatting sqref="G18">
    <cfRule type="expression" priority="782" dxfId="0">
      <formula>=AND(G4&gt;=D18,G4&lt;=E18,D18&lt;&gt;"")</formula>
    </cfRule>
  </conditionalFormatting>
  <conditionalFormatting sqref="H18">
    <cfRule type="expression" priority="783" dxfId="0">
      <formula>=AND(H4&gt;=D18,H4&lt;=E18,D18&lt;&gt;"")</formula>
    </cfRule>
  </conditionalFormatting>
  <conditionalFormatting sqref="I18">
    <cfRule type="expression" priority="784" dxfId="0">
      <formula>=AND(I4&gt;=D18,I4&lt;=E18,D18&lt;&gt;"")</formula>
    </cfRule>
  </conditionalFormatting>
  <conditionalFormatting sqref="J18">
    <cfRule type="expression" priority="785" dxfId="0">
      <formula>=AND(J4&gt;=D18,J4&lt;=E18,D18&lt;&gt;"")</formula>
    </cfRule>
  </conditionalFormatting>
  <conditionalFormatting sqref="K18">
    <cfRule type="expression" priority="786" dxfId="0">
      <formula>=AND(K4&gt;=D18,K4&lt;=E18,D18&lt;&gt;"")</formula>
    </cfRule>
  </conditionalFormatting>
  <conditionalFormatting sqref="L18">
    <cfRule type="expression" priority="787" dxfId="0">
      <formula>=AND(L4&gt;=D18,L4&lt;=E18,D18&lt;&gt;"")</formula>
    </cfRule>
  </conditionalFormatting>
  <conditionalFormatting sqref="M18">
    <cfRule type="expression" priority="788" dxfId="0">
      <formula>=AND(M4&gt;=D18,M4&lt;=E18,D18&lt;&gt;"")</formula>
    </cfRule>
  </conditionalFormatting>
  <conditionalFormatting sqref="N18">
    <cfRule type="expression" priority="789" dxfId="0">
      <formula>=AND(N4&gt;=D18,N4&lt;=E18,D18&lt;&gt;"")</formula>
    </cfRule>
  </conditionalFormatting>
  <conditionalFormatting sqref="O18">
    <cfRule type="expression" priority="790" dxfId="0">
      <formula>=AND(O4&gt;=D18,O4&lt;=E18,D18&lt;&gt;"")</formula>
    </cfRule>
  </conditionalFormatting>
  <conditionalFormatting sqref="P18">
    <cfRule type="expression" priority="791" dxfId="0">
      <formula>=AND(P4&gt;=D18,P4&lt;=E18,D18&lt;&gt;"")</formula>
    </cfRule>
  </conditionalFormatting>
  <conditionalFormatting sqref="Q18">
    <cfRule type="expression" priority="792" dxfId="0">
      <formula>=AND(Q4&gt;=D18,Q4&lt;=E18,D18&lt;&gt;"")</formula>
    </cfRule>
  </conditionalFormatting>
  <conditionalFormatting sqref="R18">
    <cfRule type="expression" priority="793" dxfId="0">
      <formula>=AND(R4&gt;=D18,R4&lt;=E18,D18&lt;&gt;"")</formula>
    </cfRule>
  </conditionalFormatting>
  <conditionalFormatting sqref="S18">
    <cfRule type="expression" priority="794" dxfId="0">
      <formula>=AND(S4&gt;=D18,S4&lt;=E18,D18&lt;&gt;"")</formula>
    </cfRule>
  </conditionalFormatting>
  <conditionalFormatting sqref="T18">
    <cfRule type="expression" priority="795" dxfId="0">
      <formula>=AND(T4&gt;=D18,T4&lt;=E18,D18&lt;&gt;"")</formula>
    </cfRule>
  </conditionalFormatting>
  <conditionalFormatting sqref="U18">
    <cfRule type="expression" priority="796" dxfId="0">
      <formula>=AND(U4&gt;=D18,U4&lt;=E18,D18&lt;&gt;"")</formula>
    </cfRule>
  </conditionalFormatting>
  <conditionalFormatting sqref="V18">
    <cfRule type="expression" priority="797" dxfId="0">
      <formula>=AND(V4&gt;=D18,V4&lt;=E18,D18&lt;&gt;"")</formula>
    </cfRule>
  </conditionalFormatting>
  <conditionalFormatting sqref="W18">
    <cfRule type="expression" priority="798" dxfId="0">
      <formula>=AND(W4&gt;=D18,W4&lt;=E18,D18&lt;&gt;"")</formula>
    </cfRule>
  </conditionalFormatting>
  <conditionalFormatting sqref="X18">
    <cfRule type="expression" priority="799" dxfId="0">
      <formula>=AND(X4&gt;=D18,X4&lt;=E18,D18&lt;&gt;"")</formula>
    </cfRule>
  </conditionalFormatting>
  <conditionalFormatting sqref="Y18">
    <cfRule type="expression" priority="800" dxfId="0">
      <formula>=AND(Y4&gt;=D18,Y4&lt;=E18,D18&lt;&gt;"")</formula>
    </cfRule>
  </conditionalFormatting>
  <conditionalFormatting sqref="Z18">
    <cfRule type="expression" priority="801" dxfId="0">
      <formula>=AND(Z4&gt;=D18,Z4&lt;=E18,D18&lt;&gt;"")</formula>
    </cfRule>
  </conditionalFormatting>
  <conditionalFormatting sqref="AA18">
    <cfRule type="expression" priority="802" dxfId="0">
      <formula>=AND(AA4&gt;=D18,AA4&lt;=E18,D18&lt;&gt;"")</formula>
    </cfRule>
  </conditionalFormatting>
  <conditionalFormatting sqref="AB18">
    <cfRule type="expression" priority="803" dxfId="0">
      <formula>=AND(AB4&gt;=D18,AB4&lt;=E18,D18&lt;&gt;"")</formula>
    </cfRule>
  </conditionalFormatting>
  <conditionalFormatting sqref="AC18">
    <cfRule type="expression" priority="804" dxfId="0">
      <formula>=AND(AC4&gt;=D18,AC4&lt;=E18,D18&lt;&gt;"")</formula>
    </cfRule>
  </conditionalFormatting>
  <conditionalFormatting sqref="AD18">
    <cfRule type="expression" priority="805" dxfId="0">
      <formula>=AND(AD4&gt;=D18,AD4&lt;=E18,D18&lt;&gt;"")</formula>
    </cfRule>
  </conditionalFormatting>
  <conditionalFormatting sqref="AE18">
    <cfRule type="expression" priority="806" dxfId="0">
      <formula>=AND(AE4&gt;=D18,AE4&lt;=E18,D18&lt;&gt;"")</formula>
    </cfRule>
  </conditionalFormatting>
  <conditionalFormatting sqref="AF18">
    <cfRule type="expression" priority="807" dxfId="0">
      <formula>=AND(AF4&gt;=D18,AF4&lt;=E18,D18&lt;&gt;"")</formula>
    </cfRule>
  </conditionalFormatting>
  <conditionalFormatting sqref="AG18">
    <cfRule type="expression" priority="808" dxfId="0">
      <formula>=AND(AG4&gt;=D18,AG4&lt;=E18,D18&lt;&gt;"")</formula>
    </cfRule>
  </conditionalFormatting>
  <conditionalFormatting sqref="AH18">
    <cfRule type="expression" priority="809" dxfId="0">
      <formula>=AND(AH4&gt;=D18,AH4&lt;=E18,D18&lt;&gt;"")</formula>
    </cfRule>
  </conditionalFormatting>
  <conditionalFormatting sqref="AI18">
    <cfRule type="expression" priority="810" dxfId="0">
      <formula>=AND(AI4&gt;=D18,AI4&lt;=E18,D18&lt;&gt;"")</formula>
    </cfRule>
  </conditionalFormatting>
  <conditionalFormatting sqref="AJ18">
    <cfRule type="expression" priority="811" dxfId="0">
      <formula>=AND(AJ4&gt;=D18,AJ4&lt;=E18,D18&lt;&gt;"")</formula>
    </cfRule>
  </conditionalFormatting>
  <conditionalFormatting sqref="AK18">
    <cfRule type="expression" priority="812" dxfId="0">
      <formula>=AND(AK4&gt;=D18,AK4&lt;=E18,D18&lt;&gt;"")</formula>
    </cfRule>
  </conditionalFormatting>
  <conditionalFormatting sqref="AL18">
    <cfRule type="expression" priority="813" dxfId="0">
      <formula>=AND(AL4&gt;=D18,AL4&lt;=E18,D18&lt;&gt;"")</formula>
    </cfRule>
  </conditionalFormatting>
  <conditionalFormatting sqref="AM18">
    <cfRule type="expression" priority="814" dxfId="0">
      <formula>=AND(AM4&gt;=D18,AM4&lt;=E18,D18&lt;&gt;"")</formula>
    </cfRule>
  </conditionalFormatting>
  <conditionalFormatting sqref="AN18">
    <cfRule type="expression" priority="815" dxfId="0">
      <formula>=AND(AN4&gt;=D18,AN4&lt;=E18,D18&lt;&gt;"")</formula>
    </cfRule>
  </conditionalFormatting>
  <conditionalFormatting sqref="AO18">
    <cfRule type="expression" priority="816" dxfId="0">
      <formula>=AND(AO4&gt;=D18,AO4&lt;=E18,D18&lt;&gt;"")</formula>
    </cfRule>
  </conditionalFormatting>
  <conditionalFormatting sqref="AP18">
    <cfRule type="expression" priority="817" dxfId="0">
      <formula>=AND(AP4&gt;=D18,AP4&lt;=E18,D18&lt;&gt;"")</formula>
    </cfRule>
  </conditionalFormatting>
  <conditionalFormatting sqref="AQ18">
    <cfRule type="expression" priority="818" dxfId="0">
      <formula>=AND(AQ4&gt;=D18,AQ4&lt;=E18,D18&lt;&gt;"")</formula>
    </cfRule>
  </conditionalFormatting>
  <conditionalFormatting sqref="AR18">
    <cfRule type="expression" priority="819" dxfId="0">
      <formula>=AND(AR4&gt;=D18,AR4&lt;=E18,D18&lt;&gt;"")</formula>
    </cfRule>
  </conditionalFormatting>
  <conditionalFormatting sqref="AS18">
    <cfRule type="expression" priority="820" dxfId="0">
      <formula>=AND(AS4&gt;=D18,AS4&lt;=E18,D18&lt;&gt;"")</formula>
    </cfRule>
  </conditionalFormatting>
  <conditionalFormatting sqref="AT18">
    <cfRule type="expression" priority="821" dxfId="0">
      <formula>=AND(AT4&gt;=D18,AT4&lt;=E18,D18&lt;&gt;"")</formula>
    </cfRule>
  </conditionalFormatting>
  <conditionalFormatting sqref="AU18">
    <cfRule type="expression" priority="822" dxfId="0">
      <formula>=AND(AU4&gt;=D18,AU4&lt;=E18,D18&lt;&gt;"")</formula>
    </cfRule>
  </conditionalFormatting>
  <conditionalFormatting sqref="AV18">
    <cfRule type="expression" priority="823" dxfId="0">
      <formula>=AND(AV4&gt;=D18,AV4&lt;=E18,D18&lt;&gt;"")</formula>
    </cfRule>
  </conditionalFormatting>
  <conditionalFormatting sqref="AW18">
    <cfRule type="expression" priority="824" dxfId="0">
      <formula>=AND(AW4&gt;=D18,AW4&lt;=E18,D18&lt;&gt;"")</formula>
    </cfRule>
  </conditionalFormatting>
  <conditionalFormatting sqref="AX18">
    <cfRule type="expression" priority="825" dxfId="0">
      <formula>=AND(AX4&gt;=D18,AX4&lt;=E18,D18&lt;&gt;"")</formula>
    </cfRule>
  </conditionalFormatting>
  <conditionalFormatting sqref="AY18">
    <cfRule type="expression" priority="826" dxfId="0">
      <formula>=AND(AY4&gt;=D18,AY4&lt;=E18,D18&lt;&gt;"")</formula>
    </cfRule>
  </conditionalFormatting>
  <conditionalFormatting sqref="AZ18">
    <cfRule type="expression" priority="827" dxfId="0">
      <formula>=AND(AZ4&gt;=D18,AZ4&lt;=E18,D18&lt;&gt;"")</formula>
    </cfRule>
  </conditionalFormatting>
  <conditionalFormatting sqref="BA18">
    <cfRule type="expression" priority="828" dxfId="0">
      <formula>=AND(BA4&gt;=D18,BA4&lt;=E18,D18&lt;&gt;"")</formula>
    </cfRule>
  </conditionalFormatting>
  <conditionalFormatting sqref="BB18">
    <cfRule type="expression" priority="829" dxfId="0">
      <formula>=AND(BB4&gt;=D18,BB4&lt;=E18,D18&lt;&gt;"")</formula>
    </cfRule>
  </conditionalFormatting>
  <conditionalFormatting sqref="BC18">
    <cfRule type="expression" priority="830" dxfId="0">
      <formula>=AND(BC4&gt;=D18,BC4&lt;=E18,D18&lt;&gt;"")</formula>
    </cfRule>
  </conditionalFormatting>
  <conditionalFormatting sqref="BD18">
    <cfRule type="expression" priority="831" dxfId="0">
      <formula>=AND(BD4&gt;=D18,BD4&lt;=E18,D18&lt;&gt;"")</formula>
    </cfRule>
  </conditionalFormatting>
  <conditionalFormatting sqref="BE18">
    <cfRule type="expression" priority="832" dxfId="0">
      <formula>=AND(BE4&gt;=D18,BE4&lt;=E18,D18&lt;&gt;"")</formula>
    </cfRule>
  </conditionalFormatting>
  <conditionalFormatting sqref="BF18">
    <cfRule type="expression" priority="833" dxfId="0">
      <formula>=AND(BF4&gt;=D18,BF4&lt;=E18,D18&lt;&gt;"")</formula>
    </cfRule>
  </conditionalFormatting>
  <conditionalFormatting sqref="BG18">
    <cfRule type="expression" priority="834" dxfId="0">
      <formula>=AND(BG4&gt;=D18,BG4&lt;=E18,D18&lt;&gt;"")</formula>
    </cfRule>
  </conditionalFormatting>
  <conditionalFormatting sqref="BH18">
    <cfRule type="expression" priority="835" dxfId="0">
      <formula>=AND(BH4&gt;=D18,BH4&lt;=E18,D18&lt;&gt;"")</formula>
    </cfRule>
  </conditionalFormatting>
  <conditionalFormatting sqref="BI18">
    <cfRule type="expression" priority="836" dxfId="0">
      <formula>=AND(BI4&gt;=D18,BI4&lt;=E18,D18&lt;&gt;"")</formula>
    </cfRule>
  </conditionalFormatting>
  <conditionalFormatting sqref="BJ18">
    <cfRule type="expression" priority="837" dxfId="0">
      <formula>=AND(BJ4&gt;=D18,BJ4&lt;=E18,D18&lt;&gt;"")</formula>
    </cfRule>
  </conditionalFormatting>
  <conditionalFormatting sqref="BK18">
    <cfRule type="expression" priority="838" dxfId="0">
      <formula>=AND(BK4&gt;=D18,BK4&lt;=E18,D18&lt;&gt;"")</formula>
    </cfRule>
  </conditionalFormatting>
  <conditionalFormatting sqref="BL18">
    <cfRule type="expression" priority="839" dxfId="0">
      <formula>=AND(BL4&gt;=D18,BL4&lt;=E18,D18&lt;&gt;"")</formula>
    </cfRule>
  </conditionalFormatting>
  <conditionalFormatting sqref="BM18">
    <cfRule type="expression" priority="840" dxfId="0">
      <formula>=AND(BM4&gt;=D18,BM4&lt;=E18,D18&lt;&gt;"")</formula>
    </cfRule>
  </conditionalFormatting>
  <conditionalFormatting sqref="F19">
    <cfRule type="expression" priority="841" dxfId="0">
      <formula>=AND(F4&gt;=D19,F4&lt;=E19,D19&lt;&gt;"")</formula>
    </cfRule>
  </conditionalFormatting>
  <conditionalFormatting sqref="G19">
    <cfRule type="expression" priority="842" dxfId="0">
      <formula>=AND(G4&gt;=D19,G4&lt;=E19,D19&lt;&gt;"")</formula>
    </cfRule>
  </conditionalFormatting>
  <conditionalFormatting sqref="H19">
    <cfRule type="expression" priority="843" dxfId="0">
      <formula>=AND(H4&gt;=D19,H4&lt;=E19,D19&lt;&gt;"")</formula>
    </cfRule>
  </conditionalFormatting>
  <conditionalFormatting sqref="I19">
    <cfRule type="expression" priority="844" dxfId="0">
      <formula>=AND(I4&gt;=D19,I4&lt;=E19,D19&lt;&gt;"")</formula>
    </cfRule>
  </conditionalFormatting>
  <conditionalFormatting sqref="J19">
    <cfRule type="expression" priority="845" dxfId="0">
      <formula>=AND(J4&gt;=D19,J4&lt;=E19,D19&lt;&gt;"")</formula>
    </cfRule>
  </conditionalFormatting>
  <conditionalFormatting sqref="K19">
    <cfRule type="expression" priority="846" dxfId="0">
      <formula>=AND(K4&gt;=D19,K4&lt;=E19,D19&lt;&gt;"")</formula>
    </cfRule>
  </conditionalFormatting>
  <conditionalFormatting sqref="L19">
    <cfRule type="expression" priority="847" dxfId="0">
      <formula>=AND(L4&gt;=D19,L4&lt;=E19,D19&lt;&gt;"")</formula>
    </cfRule>
  </conditionalFormatting>
  <conditionalFormatting sqref="M19">
    <cfRule type="expression" priority="848" dxfId="0">
      <formula>=AND(M4&gt;=D19,M4&lt;=E19,D19&lt;&gt;"")</formula>
    </cfRule>
  </conditionalFormatting>
  <conditionalFormatting sqref="N19">
    <cfRule type="expression" priority="849" dxfId="0">
      <formula>=AND(N4&gt;=D19,N4&lt;=E19,D19&lt;&gt;"")</formula>
    </cfRule>
  </conditionalFormatting>
  <conditionalFormatting sqref="O19">
    <cfRule type="expression" priority="850" dxfId="0">
      <formula>=AND(O4&gt;=D19,O4&lt;=E19,D19&lt;&gt;"")</formula>
    </cfRule>
  </conditionalFormatting>
  <conditionalFormatting sqref="P19">
    <cfRule type="expression" priority="851" dxfId="0">
      <formula>=AND(P4&gt;=D19,P4&lt;=E19,D19&lt;&gt;"")</formula>
    </cfRule>
  </conditionalFormatting>
  <conditionalFormatting sqref="Q19">
    <cfRule type="expression" priority="852" dxfId="0">
      <formula>=AND(Q4&gt;=D19,Q4&lt;=E19,D19&lt;&gt;"")</formula>
    </cfRule>
  </conditionalFormatting>
  <conditionalFormatting sqref="R19">
    <cfRule type="expression" priority="853" dxfId="0">
      <formula>=AND(R4&gt;=D19,R4&lt;=E19,D19&lt;&gt;"")</formula>
    </cfRule>
  </conditionalFormatting>
  <conditionalFormatting sqref="S19">
    <cfRule type="expression" priority="854" dxfId="0">
      <formula>=AND(S4&gt;=D19,S4&lt;=E19,D19&lt;&gt;"")</formula>
    </cfRule>
  </conditionalFormatting>
  <conditionalFormatting sqref="T19">
    <cfRule type="expression" priority="855" dxfId="0">
      <formula>=AND(T4&gt;=D19,T4&lt;=E19,D19&lt;&gt;"")</formula>
    </cfRule>
  </conditionalFormatting>
  <conditionalFormatting sqref="U19">
    <cfRule type="expression" priority="856" dxfId="0">
      <formula>=AND(U4&gt;=D19,U4&lt;=E19,D19&lt;&gt;"")</formula>
    </cfRule>
  </conditionalFormatting>
  <conditionalFormatting sqref="V19">
    <cfRule type="expression" priority="857" dxfId="0">
      <formula>=AND(V4&gt;=D19,V4&lt;=E19,D19&lt;&gt;"")</formula>
    </cfRule>
  </conditionalFormatting>
  <conditionalFormatting sqref="W19">
    <cfRule type="expression" priority="858" dxfId="0">
      <formula>=AND(W4&gt;=D19,W4&lt;=E19,D19&lt;&gt;"")</formula>
    </cfRule>
  </conditionalFormatting>
  <conditionalFormatting sqref="X19">
    <cfRule type="expression" priority="859" dxfId="0">
      <formula>=AND(X4&gt;=D19,X4&lt;=E19,D19&lt;&gt;"")</formula>
    </cfRule>
  </conditionalFormatting>
  <conditionalFormatting sqref="Y19">
    <cfRule type="expression" priority="860" dxfId="0">
      <formula>=AND(Y4&gt;=D19,Y4&lt;=E19,D19&lt;&gt;"")</formula>
    </cfRule>
  </conditionalFormatting>
  <conditionalFormatting sqref="Z19">
    <cfRule type="expression" priority="861" dxfId="0">
      <formula>=AND(Z4&gt;=D19,Z4&lt;=E19,D19&lt;&gt;"")</formula>
    </cfRule>
  </conditionalFormatting>
  <conditionalFormatting sqref="AA19">
    <cfRule type="expression" priority="862" dxfId="0">
      <formula>=AND(AA4&gt;=D19,AA4&lt;=E19,D19&lt;&gt;"")</formula>
    </cfRule>
  </conditionalFormatting>
  <conditionalFormatting sqref="AB19">
    <cfRule type="expression" priority="863" dxfId="0">
      <formula>=AND(AB4&gt;=D19,AB4&lt;=E19,D19&lt;&gt;"")</formula>
    </cfRule>
  </conditionalFormatting>
  <conditionalFormatting sqref="AC19">
    <cfRule type="expression" priority="864" dxfId="0">
      <formula>=AND(AC4&gt;=D19,AC4&lt;=E19,D19&lt;&gt;"")</formula>
    </cfRule>
  </conditionalFormatting>
  <conditionalFormatting sqref="AD19">
    <cfRule type="expression" priority="865" dxfId="0">
      <formula>=AND(AD4&gt;=D19,AD4&lt;=E19,D19&lt;&gt;"")</formula>
    </cfRule>
  </conditionalFormatting>
  <conditionalFormatting sqref="AE19">
    <cfRule type="expression" priority="866" dxfId="0">
      <formula>=AND(AE4&gt;=D19,AE4&lt;=E19,D19&lt;&gt;"")</formula>
    </cfRule>
  </conditionalFormatting>
  <conditionalFormatting sqref="AF19">
    <cfRule type="expression" priority="867" dxfId="0">
      <formula>=AND(AF4&gt;=D19,AF4&lt;=E19,D19&lt;&gt;"")</formula>
    </cfRule>
  </conditionalFormatting>
  <conditionalFormatting sqref="AG19">
    <cfRule type="expression" priority="868" dxfId="0">
      <formula>=AND(AG4&gt;=D19,AG4&lt;=E19,D19&lt;&gt;"")</formula>
    </cfRule>
  </conditionalFormatting>
  <conditionalFormatting sqref="AH19">
    <cfRule type="expression" priority="869" dxfId="0">
      <formula>=AND(AH4&gt;=D19,AH4&lt;=E19,D19&lt;&gt;"")</formula>
    </cfRule>
  </conditionalFormatting>
  <conditionalFormatting sqref="AI19">
    <cfRule type="expression" priority="870" dxfId="0">
      <formula>=AND(AI4&gt;=D19,AI4&lt;=E19,D19&lt;&gt;"")</formula>
    </cfRule>
  </conditionalFormatting>
  <conditionalFormatting sqref="AJ19">
    <cfRule type="expression" priority="871" dxfId="0">
      <formula>=AND(AJ4&gt;=D19,AJ4&lt;=E19,D19&lt;&gt;"")</formula>
    </cfRule>
  </conditionalFormatting>
  <conditionalFormatting sqref="AK19">
    <cfRule type="expression" priority="872" dxfId="0">
      <formula>=AND(AK4&gt;=D19,AK4&lt;=E19,D19&lt;&gt;"")</formula>
    </cfRule>
  </conditionalFormatting>
  <conditionalFormatting sqref="AL19">
    <cfRule type="expression" priority="873" dxfId="0">
      <formula>=AND(AL4&gt;=D19,AL4&lt;=E19,D19&lt;&gt;"")</formula>
    </cfRule>
  </conditionalFormatting>
  <conditionalFormatting sqref="AM19">
    <cfRule type="expression" priority="874" dxfId="0">
      <formula>=AND(AM4&gt;=D19,AM4&lt;=E19,D19&lt;&gt;"")</formula>
    </cfRule>
  </conditionalFormatting>
  <conditionalFormatting sqref="AN19">
    <cfRule type="expression" priority="875" dxfId="0">
      <formula>=AND(AN4&gt;=D19,AN4&lt;=E19,D19&lt;&gt;"")</formula>
    </cfRule>
  </conditionalFormatting>
  <conditionalFormatting sqref="AO19">
    <cfRule type="expression" priority="876" dxfId="0">
      <formula>=AND(AO4&gt;=D19,AO4&lt;=E19,D19&lt;&gt;"")</formula>
    </cfRule>
  </conditionalFormatting>
  <conditionalFormatting sqref="AP19">
    <cfRule type="expression" priority="877" dxfId="0">
      <formula>=AND(AP4&gt;=D19,AP4&lt;=E19,D19&lt;&gt;"")</formula>
    </cfRule>
  </conditionalFormatting>
  <conditionalFormatting sqref="AQ19">
    <cfRule type="expression" priority="878" dxfId="0">
      <formula>=AND(AQ4&gt;=D19,AQ4&lt;=E19,D19&lt;&gt;"")</formula>
    </cfRule>
  </conditionalFormatting>
  <conditionalFormatting sqref="AR19">
    <cfRule type="expression" priority="879" dxfId="0">
      <formula>=AND(AR4&gt;=D19,AR4&lt;=E19,D19&lt;&gt;"")</formula>
    </cfRule>
  </conditionalFormatting>
  <conditionalFormatting sqref="AS19">
    <cfRule type="expression" priority="880" dxfId="0">
      <formula>=AND(AS4&gt;=D19,AS4&lt;=E19,D19&lt;&gt;"")</formula>
    </cfRule>
  </conditionalFormatting>
  <conditionalFormatting sqref="AT19">
    <cfRule type="expression" priority="881" dxfId="0">
      <formula>=AND(AT4&gt;=D19,AT4&lt;=E19,D19&lt;&gt;"")</formula>
    </cfRule>
  </conditionalFormatting>
  <conditionalFormatting sqref="AU19">
    <cfRule type="expression" priority="882" dxfId="0">
      <formula>=AND(AU4&gt;=D19,AU4&lt;=E19,D19&lt;&gt;"")</formula>
    </cfRule>
  </conditionalFormatting>
  <conditionalFormatting sqref="AV19">
    <cfRule type="expression" priority="883" dxfId="0">
      <formula>=AND(AV4&gt;=D19,AV4&lt;=E19,D19&lt;&gt;"")</formula>
    </cfRule>
  </conditionalFormatting>
  <conditionalFormatting sqref="AW19">
    <cfRule type="expression" priority="884" dxfId="0">
      <formula>=AND(AW4&gt;=D19,AW4&lt;=E19,D19&lt;&gt;"")</formula>
    </cfRule>
  </conditionalFormatting>
  <conditionalFormatting sqref="AX19">
    <cfRule type="expression" priority="885" dxfId="0">
      <formula>=AND(AX4&gt;=D19,AX4&lt;=E19,D19&lt;&gt;"")</formula>
    </cfRule>
  </conditionalFormatting>
  <conditionalFormatting sqref="AY19">
    <cfRule type="expression" priority="886" dxfId="0">
      <formula>=AND(AY4&gt;=D19,AY4&lt;=E19,D19&lt;&gt;"")</formula>
    </cfRule>
  </conditionalFormatting>
  <conditionalFormatting sqref="AZ19">
    <cfRule type="expression" priority="887" dxfId="0">
      <formula>=AND(AZ4&gt;=D19,AZ4&lt;=E19,D19&lt;&gt;"")</formula>
    </cfRule>
  </conditionalFormatting>
  <conditionalFormatting sqref="BA19">
    <cfRule type="expression" priority="888" dxfId="0">
      <formula>=AND(BA4&gt;=D19,BA4&lt;=E19,D19&lt;&gt;"")</formula>
    </cfRule>
  </conditionalFormatting>
  <conditionalFormatting sqref="BB19">
    <cfRule type="expression" priority="889" dxfId="0">
      <formula>=AND(BB4&gt;=D19,BB4&lt;=E19,D19&lt;&gt;"")</formula>
    </cfRule>
  </conditionalFormatting>
  <conditionalFormatting sqref="BC19">
    <cfRule type="expression" priority="890" dxfId="0">
      <formula>=AND(BC4&gt;=D19,BC4&lt;=E19,D19&lt;&gt;"")</formula>
    </cfRule>
  </conditionalFormatting>
  <conditionalFormatting sqref="BD19">
    <cfRule type="expression" priority="891" dxfId="0">
      <formula>=AND(BD4&gt;=D19,BD4&lt;=E19,D19&lt;&gt;"")</formula>
    </cfRule>
  </conditionalFormatting>
  <conditionalFormatting sqref="BE19">
    <cfRule type="expression" priority="892" dxfId="0">
      <formula>=AND(BE4&gt;=D19,BE4&lt;=E19,D19&lt;&gt;"")</formula>
    </cfRule>
  </conditionalFormatting>
  <conditionalFormatting sqref="BF19">
    <cfRule type="expression" priority="893" dxfId="0">
      <formula>=AND(BF4&gt;=D19,BF4&lt;=E19,D19&lt;&gt;"")</formula>
    </cfRule>
  </conditionalFormatting>
  <conditionalFormatting sqref="BG19">
    <cfRule type="expression" priority="894" dxfId="0">
      <formula>=AND(BG4&gt;=D19,BG4&lt;=E19,D19&lt;&gt;"")</formula>
    </cfRule>
  </conditionalFormatting>
  <conditionalFormatting sqref="BH19">
    <cfRule type="expression" priority="895" dxfId="0">
      <formula>=AND(BH4&gt;=D19,BH4&lt;=E19,D19&lt;&gt;"")</formula>
    </cfRule>
  </conditionalFormatting>
  <conditionalFormatting sqref="BI19">
    <cfRule type="expression" priority="896" dxfId="0">
      <formula>=AND(BI4&gt;=D19,BI4&lt;=E19,D19&lt;&gt;"")</formula>
    </cfRule>
  </conditionalFormatting>
  <conditionalFormatting sqref="BJ19">
    <cfRule type="expression" priority="897" dxfId="0">
      <formula>=AND(BJ4&gt;=D19,BJ4&lt;=E19,D19&lt;&gt;"")</formula>
    </cfRule>
  </conditionalFormatting>
  <conditionalFormatting sqref="BK19">
    <cfRule type="expression" priority="898" dxfId="0">
      <formula>=AND(BK4&gt;=D19,BK4&lt;=E19,D19&lt;&gt;"")</formula>
    </cfRule>
  </conditionalFormatting>
  <conditionalFormatting sqref="BL19">
    <cfRule type="expression" priority="899" dxfId="0">
      <formula>=AND(BL4&gt;=D19,BL4&lt;=E19,D19&lt;&gt;"")</formula>
    </cfRule>
  </conditionalFormatting>
  <conditionalFormatting sqref="BM19">
    <cfRule type="expression" priority="900" dxfId="0">
      <formula>=AND(BM4&gt;=D19,BM4&lt;=E19,D19&lt;&gt;"")</formula>
    </cfRule>
  </conditionalFormatting>
  <conditionalFormatting sqref="F20">
    <cfRule type="expression" priority="901" dxfId="0">
      <formula>=AND(F4&gt;=D20,F4&lt;=E20,D20&lt;&gt;"")</formula>
    </cfRule>
  </conditionalFormatting>
  <conditionalFormatting sqref="G20">
    <cfRule type="expression" priority="902" dxfId="0">
      <formula>=AND(G4&gt;=D20,G4&lt;=E20,D20&lt;&gt;"")</formula>
    </cfRule>
  </conditionalFormatting>
  <conditionalFormatting sqref="H20">
    <cfRule type="expression" priority="903" dxfId="0">
      <formula>=AND(H4&gt;=D20,H4&lt;=E20,D20&lt;&gt;"")</formula>
    </cfRule>
  </conditionalFormatting>
  <conditionalFormatting sqref="I20">
    <cfRule type="expression" priority="904" dxfId="0">
      <formula>=AND(I4&gt;=D20,I4&lt;=E20,D20&lt;&gt;"")</formula>
    </cfRule>
  </conditionalFormatting>
  <conditionalFormatting sqref="J20">
    <cfRule type="expression" priority="905" dxfId="0">
      <formula>=AND(J4&gt;=D20,J4&lt;=E20,D20&lt;&gt;"")</formula>
    </cfRule>
  </conditionalFormatting>
  <conditionalFormatting sqref="K20">
    <cfRule type="expression" priority="906" dxfId="0">
      <formula>=AND(K4&gt;=D20,K4&lt;=E20,D20&lt;&gt;"")</formula>
    </cfRule>
  </conditionalFormatting>
  <conditionalFormatting sqref="L20">
    <cfRule type="expression" priority="907" dxfId="0">
      <formula>=AND(L4&gt;=D20,L4&lt;=E20,D20&lt;&gt;"")</formula>
    </cfRule>
  </conditionalFormatting>
  <conditionalFormatting sqref="M20">
    <cfRule type="expression" priority="908" dxfId="0">
      <formula>=AND(M4&gt;=D20,M4&lt;=E20,D20&lt;&gt;"")</formula>
    </cfRule>
  </conditionalFormatting>
  <conditionalFormatting sqref="N20">
    <cfRule type="expression" priority="909" dxfId="0">
      <formula>=AND(N4&gt;=D20,N4&lt;=E20,D20&lt;&gt;"")</formula>
    </cfRule>
  </conditionalFormatting>
  <conditionalFormatting sqref="O20">
    <cfRule type="expression" priority="910" dxfId="0">
      <formula>=AND(O4&gt;=D20,O4&lt;=E20,D20&lt;&gt;"")</formula>
    </cfRule>
  </conditionalFormatting>
  <conditionalFormatting sqref="P20">
    <cfRule type="expression" priority="911" dxfId="0">
      <formula>=AND(P4&gt;=D20,P4&lt;=E20,D20&lt;&gt;"")</formula>
    </cfRule>
  </conditionalFormatting>
  <conditionalFormatting sqref="Q20">
    <cfRule type="expression" priority="912" dxfId="0">
      <formula>=AND(Q4&gt;=D20,Q4&lt;=E20,D20&lt;&gt;"")</formula>
    </cfRule>
  </conditionalFormatting>
  <conditionalFormatting sqref="R20">
    <cfRule type="expression" priority="913" dxfId="0">
      <formula>=AND(R4&gt;=D20,R4&lt;=E20,D20&lt;&gt;"")</formula>
    </cfRule>
  </conditionalFormatting>
  <conditionalFormatting sqref="S20">
    <cfRule type="expression" priority="914" dxfId="0">
      <formula>=AND(S4&gt;=D20,S4&lt;=E20,D20&lt;&gt;"")</formula>
    </cfRule>
  </conditionalFormatting>
  <conditionalFormatting sqref="T20">
    <cfRule type="expression" priority="915" dxfId="0">
      <formula>=AND(T4&gt;=D20,T4&lt;=E20,D20&lt;&gt;"")</formula>
    </cfRule>
  </conditionalFormatting>
  <conditionalFormatting sqref="U20">
    <cfRule type="expression" priority="916" dxfId="0">
      <formula>=AND(U4&gt;=D20,U4&lt;=E20,D20&lt;&gt;"")</formula>
    </cfRule>
  </conditionalFormatting>
  <conditionalFormatting sqref="V20">
    <cfRule type="expression" priority="917" dxfId="0">
      <formula>=AND(V4&gt;=D20,V4&lt;=E20,D20&lt;&gt;"")</formula>
    </cfRule>
  </conditionalFormatting>
  <conditionalFormatting sqref="W20">
    <cfRule type="expression" priority="918" dxfId="0">
      <formula>=AND(W4&gt;=D20,W4&lt;=E20,D20&lt;&gt;"")</formula>
    </cfRule>
  </conditionalFormatting>
  <conditionalFormatting sqref="X20">
    <cfRule type="expression" priority="919" dxfId="0">
      <formula>=AND(X4&gt;=D20,X4&lt;=E20,D20&lt;&gt;"")</formula>
    </cfRule>
  </conditionalFormatting>
  <conditionalFormatting sqref="Y20">
    <cfRule type="expression" priority="920" dxfId="0">
      <formula>=AND(Y4&gt;=D20,Y4&lt;=E20,D20&lt;&gt;"")</formula>
    </cfRule>
  </conditionalFormatting>
  <conditionalFormatting sqref="Z20">
    <cfRule type="expression" priority="921" dxfId="0">
      <formula>=AND(Z4&gt;=D20,Z4&lt;=E20,D20&lt;&gt;"")</formula>
    </cfRule>
  </conditionalFormatting>
  <conditionalFormatting sqref="AA20">
    <cfRule type="expression" priority="922" dxfId="0">
      <formula>=AND(AA4&gt;=D20,AA4&lt;=E20,D20&lt;&gt;"")</formula>
    </cfRule>
  </conditionalFormatting>
  <conditionalFormatting sqref="AB20">
    <cfRule type="expression" priority="923" dxfId="0">
      <formula>=AND(AB4&gt;=D20,AB4&lt;=E20,D20&lt;&gt;"")</formula>
    </cfRule>
  </conditionalFormatting>
  <conditionalFormatting sqref="AC20">
    <cfRule type="expression" priority="924" dxfId="0">
      <formula>=AND(AC4&gt;=D20,AC4&lt;=E20,D20&lt;&gt;"")</formula>
    </cfRule>
  </conditionalFormatting>
  <conditionalFormatting sqref="AD20">
    <cfRule type="expression" priority="925" dxfId="0">
      <formula>=AND(AD4&gt;=D20,AD4&lt;=E20,D20&lt;&gt;"")</formula>
    </cfRule>
  </conditionalFormatting>
  <conditionalFormatting sqref="AE20">
    <cfRule type="expression" priority="926" dxfId="0">
      <formula>=AND(AE4&gt;=D20,AE4&lt;=E20,D20&lt;&gt;"")</formula>
    </cfRule>
  </conditionalFormatting>
  <conditionalFormatting sqref="AF20">
    <cfRule type="expression" priority="927" dxfId="0">
      <formula>=AND(AF4&gt;=D20,AF4&lt;=E20,D20&lt;&gt;"")</formula>
    </cfRule>
  </conditionalFormatting>
  <conditionalFormatting sqref="AG20">
    <cfRule type="expression" priority="928" dxfId="0">
      <formula>=AND(AG4&gt;=D20,AG4&lt;=E20,D20&lt;&gt;"")</formula>
    </cfRule>
  </conditionalFormatting>
  <conditionalFormatting sqref="AH20">
    <cfRule type="expression" priority="929" dxfId="0">
      <formula>=AND(AH4&gt;=D20,AH4&lt;=E20,D20&lt;&gt;"")</formula>
    </cfRule>
  </conditionalFormatting>
  <conditionalFormatting sqref="AI20">
    <cfRule type="expression" priority="930" dxfId="0">
      <formula>=AND(AI4&gt;=D20,AI4&lt;=E20,D20&lt;&gt;"")</formula>
    </cfRule>
  </conditionalFormatting>
  <conditionalFormatting sqref="AJ20">
    <cfRule type="expression" priority="931" dxfId="0">
      <formula>=AND(AJ4&gt;=D20,AJ4&lt;=E20,D20&lt;&gt;"")</formula>
    </cfRule>
  </conditionalFormatting>
  <conditionalFormatting sqref="AK20">
    <cfRule type="expression" priority="932" dxfId="0">
      <formula>=AND(AK4&gt;=D20,AK4&lt;=E20,D20&lt;&gt;"")</formula>
    </cfRule>
  </conditionalFormatting>
  <conditionalFormatting sqref="AL20">
    <cfRule type="expression" priority="933" dxfId="0">
      <formula>=AND(AL4&gt;=D20,AL4&lt;=E20,D20&lt;&gt;"")</formula>
    </cfRule>
  </conditionalFormatting>
  <conditionalFormatting sqref="AM20">
    <cfRule type="expression" priority="934" dxfId="0">
      <formula>=AND(AM4&gt;=D20,AM4&lt;=E20,D20&lt;&gt;"")</formula>
    </cfRule>
  </conditionalFormatting>
  <conditionalFormatting sqref="AN20">
    <cfRule type="expression" priority="935" dxfId="0">
      <formula>=AND(AN4&gt;=D20,AN4&lt;=E20,D20&lt;&gt;"")</formula>
    </cfRule>
  </conditionalFormatting>
  <conditionalFormatting sqref="AO20">
    <cfRule type="expression" priority="936" dxfId="0">
      <formula>=AND(AO4&gt;=D20,AO4&lt;=E20,D20&lt;&gt;"")</formula>
    </cfRule>
  </conditionalFormatting>
  <conditionalFormatting sqref="AP20">
    <cfRule type="expression" priority="937" dxfId="0">
      <formula>=AND(AP4&gt;=D20,AP4&lt;=E20,D20&lt;&gt;"")</formula>
    </cfRule>
  </conditionalFormatting>
  <conditionalFormatting sqref="AQ20">
    <cfRule type="expression" priority="938" dxfId="0">
      <formula>=AND(AQ4&gt;=D20,AQ4&lt;=E20,D20&lt;&gt;"")</formula>
    </cfRule>
  </conditionalFormatting>
  <conditionalFormatting sqref="AR20">
    <cfRule type="expression" priority="939" dxfId="0">
      <formula>=AND(AR4&gt;=D20,AR4&lt;=E20,D20&lt;&gt;"")</formula>
    </cfRule>
  </conditionalFormatting>
  <conditionalFormatting sqref="AS20">
    <cfRule type="expression" priority="940" dxfId="0">
      <formula>=AND(AS4&gt;=D20,AS4&lt;=E20,D20&lt;&gt;"")</formula>
    </cfRule>
  </conditionalFormatting>
  <conditionalFormatting sqref="AT20">
    <cfRule type="expression" priority="941" dxfId="0">
      <formula>=AND(AT4&gt;=D20,AT4&lt;=E20,D20&lt;&gt;"")</formula>
    </cfRule>
  </conditionalFormatting>
  <conditionalFormatting sqref="AU20">
    <cfRule type="expression" priority="942" dxfId="0">
      <formula>=AND(AU4&gt;=D20,AU4&lt;=E20,D20&lt;&gt;"")</formula>
    </cfRule>
  </conditionalFormatting>
  <conditionalFormatting sqref="AV20">
    <cfRule type="expression" priority="943" dxfId="0">
      <formula>=AND(AV4&gt;=D20,AV4&lt;=E20,D20&lt;&gt;"")</formula>
    </cfRule>
  </conditionalFormatting>
  <conditionalFormatting sqref="AW20">
    <cfRule type="expression" priority="944" dxfId="0">
      <formula>=AND(AW4&gt;=D20,AW4&lt;=E20,D20&lt;&gt;"")</formula>
    </cfRule>
  </conditionalFormatting>
  <conditionalFormatting sqref="AX20">
    <cfRule type="expression" priority="945" dxfId="0">
      <formula>=AND(AX4&gt;=D20,AX4&lt;=E20,D20&lt;&gt;"")</formula>
    </cfRule>
  </conditionalFormatting>
  <conditionalFormatting sqref="AY20">
    <cfRule type="expression" priority="946" dxfId="0">
      <formula>=AND(AY4&gt;=D20,AY4&lt;=E20,D20&lt;&gt;"")</formula>
    </cfRule>
  </conditionalFormatting>
  <conditionalFormatting sqref="AZ20">
    <cfRule type="expression" priority="947" dxfId="0">
      <formula>=AND(AZ4&gt;=D20,AZ4&lt;=E20,D20&lt;&gt;"")</formula>
    </cfRule>
  </conditionalFormatting>
  <conditionalFormatting sqref="BA20">
    <cfRule type="expression" priority="948" dxfId="0">
      <formula>=AND(BA4&gt;=D20,BA4&lt;=E20,D20&lt;&gt;"")</formula>
    </cfRule>
  </conditionalFormatting>
  <conditionalFormatting sqref="BB20">
    <cfRule type="expression" priority="949" dxfId="0">
      <formula>=AND(BB4&gt;=D20,BB4&lt;=E20,D20&lt;&gt;"")</formula>
    </cfRule>
  </conditionalFormatting>
  <conditionalFormatting sqref="BC20">
    <cfRule type="expression" priority="950" dxfId="0">
      <formula>=AND(BC4&gt;=D20,BC4&lt;=E20,D20&lt;&gt;"")</formula>
    </cfRule>
  </conditionalFormatting>
  <conditionalFormatting sqref="BD20">
    <cfRule type="expression" priority="951" dxfId="0">
      <formula>=AND(BD4&gt;=D20,BD4&lt;=E20,D20&lt;&gt;"")</formula>
    </cfRule>
  </conditionalFormatting>
  <conditionalFormatting sqref="BE20">
    <cfRule type="expression" priority="952" dxfId="0">
      <formula>=AND(BE4&gt;=D20,BE4&lt;=E20,D20&lt;&gt;"")</formula>
    </cfRule>
  </conditionalFormatting>
  <conditionalFormatting sqref="BF20">
    <cfRule type="expression" priority="953" dxfId="0">
      <formula>=AND(BF4&gt;=D20,BF4&lt;=E20,D20&lt;&gt;"")</formula>
    </cfRule>
  </conditionalFormatting>
  <conditionalFormatting sqref="BG20">
    <cfRule type="expression" priority="954" dxfId="0">
      <formula>=AND(BG4&gt;=D20,BG4&lt;=E20,D20&lt;&gt;"")</formula>
    </cfRule>
  </conditionalFormatting>
  <conditionalFormatting sqref="BH20">
    <cfRule type="expression" priority="955" dxfId="0">
      <formula>=AND(BH4&gt;=D20,BH4&lt;=E20,D20&lt;&gt;"")</formula>
    </cfRule>
  </conditionalFormatting>
  <conditionalFormatting sqref="BI20">
    <cfRule type="expression" priority="956" dxfId="0">
      <formula>=AND(BI4&gt;=D20,BI4&lt;=E20,D20&lt;&gt;"")</formula>
    </cfRule>
  </conditionalFormatting>
  <conditionalFormatting sqref="BJ20">
    <cfRule type="expression" priority="957" dxfId="0">
      <formula>=AND(BJ4&gt;=D20,BJ4&lt;=E20,D20&lt;&gt;"")</formula>
    </cfRule>
  </conditionalFormatting>
  <conditionalFormatting sqref="BK20">
    <cfRule type="expression" priority="958" dxfId="0">
      <formula>=AND(BK4&gt;=D20,BK4&lt;=E20,D20&lt;&gt;"")</formula>
    </cfRule>
  </conditionalFormatting>
  <conditionalFormatting sqref="BL20">
    <cfRule type="expression" priority="959" dxfId="0">
      <formula>=AND(BL4&gt;=D20,BL4&lt;=E20,D20&lt;&gt;"")</formula>
    </cfRule>
  </conditionalFormatting>
  <conditionalFormatting sqref="BM20">
    <cfRule type="expression" priority="960" dxfId="0">
      <formula>=AND(BM4&gt;=D20,BM4&lt;=E20,D20&lt;&gt;"")</formula>
    </cfRule>
  </conditionalFormatting>
  <conditionalFormatting sqref="F21">
    <cfRule type="expression" priority="961" dxfId="0">
      <formula>=AND(F4&gt;=D21,F4&lt;=E21,D21&lt;&gt;"")</formula>
    </cfRule>
  </conditionalFormatting>
  <conditionalFormatting sqref="G21">
    <cfRule type="expression" priority="962" dxfId="0">
      <formula>=AND(G4&gt;=D21,G4&lt;=E21,D21&lt;&gt;"")</formula>
    </cfRule>
  </conditionalFormatting>
  <conditionalFormatting sqref="H21">
    <cfRule type="expression" priority="963" dxfId="0">
      <formula>=AND(H4&gt;=D21,H4&lt;=E21,D21&lt;&gt;"")</formula>
    </cfRule>
  </conditionalFormatting>
  <conditionalFormatting sqref="I21">
    <cfRule type="expression" priority="964" dxfId="0">
      <formula>=AND(I4&gt;=D21,I4&lt;=E21,D21&lt;&gt;"")</formula>
    </cfRule>
  </conditionalFormatting>
  <conditionalFormatting sqref="J21">
    <cfRule type="expression" priority="965" dxfId="0">
      <formula>=AND(J4&gt;=D21,J4&lt;=E21,D21&lt;&gt;"")</formula>
    </cfRule>
  </conditionalFormatting>
  <conditionalFormatting sqref="K21">
    <cfRule type="expression" priority="966" dxfId="0">
      <formula>=AND(K4&gt;=D21,K4&lt;=E21,D21&lt;&gt;"")</formula>
    </cfRule>
  </conditionalFormatting>
  <conditionalFormatting sqref="L21">
    <cfRule type="expression" priority="967" dxfId="0">
      <formula>=AND(L4&gt;=D21,L4&lt;=E21,D21&lt;&gt;"")</formula>
    </cfRule>
  </conditionalFormatting>
  <conditionalFormatting sqref="M21">
    <cfRule type="expression" priority="968" dxfId="0">
      <formula>=AND(M4&gt;=D21,M4&lt;=E21,D21&lt;&gt;"")</formula>
    </cfRule>
  </conditionalFormatting>
  <conditionalFormatting sqref="N21">
    <cfRule type="expression" priority="969" dxfId="0">
      <formula>=AND(N4&gt;=D21,N4&lt;=E21,D21&lt;&gt;"")</formula>
    </cfRule>
  </conditionalFormatting>
  <conditionalFormatting sqref="O21">
    <cfRule type="expression" priority="970" dxfId="0">
      <formula>=AND(O4&gt;=D21,O4&lt;=E21,D21&lt;&gt;"")</formula>
    </cfRule>
  </conditionalFormatting>
  <conditionalFormatting sqref="P21">
    <cfRule type="expression" priority="971" dxfId="0">
      <formula>=AND(P4&gt;=D21,P4&lt;=E21,D21&lt;&gt;"")</formula>
    </cfRule>
  </conditionalFormatting>
  <conditionalFormatting sqref="Q21">
    <cfRule type="expression" priority="972" dxfId="0">
      <formula>=AND(Q4&gt;=D21,Q4&lt;=E21,D21&lt;&gt;"")</formula>
    </cfRule>
  </conditionalFormatting>
  <conditionalFormatting sqref="R21">
    <cfRule type="expression" priority="973" dxfId="0">
      <formula>=AND(R4&gt;=D21,R4&lt;=E21,D21&lt;&gt;"")</formula>
    </cfRule>
  </conditionalFormatting>
  <conditionalFormatting sqref="S21">
    <cfRule type="expression" priority="974" dxfId="0">
      <formula>=AND(S4&gt;=D21,S4&lt;=E21,D21&lt;&gt;"")</formula>
    </cfRule>
  </conditionalFormatting>
  <conditionalFormatting sqref="T21">
    <cfRule type="expression" priority="975" dxfId="0">
      <formula>=AND(T4&gt;=D21,T4&lt;=E21,D21&lt;&gt;"")</formula>
    </cfRule>
  </conditionalFormatting>
  <conditionalFormatting sqref="U21">
    <cfRule type="expression" priority="976" dxfId="0">
      <formula>=AND(U4&gt;=D21,U4&lt;=E21,D21&lt;&gt;"")</formula>
    </cfRule>
  </conditionalFormatting>
  <conditionalFormatting sqref="V21">
    <cfRule type="expression" priority="977" dxfId="0">
      <formula>=AND(V4&gt;=D21,V4&lt;=E21,D21&lt;&gt;"")</formula>
    </cfRule>
  </conditionalFormatting>
  <conditionalFormatting sqref="W21">
    <cfRule type="expression" priority="978" dxfId="0">
      <formula>=AND(W4&gt;=D21,W4&lt;=E21,D21&lt;&gt;"")</formula>
    </cfRule>
  </conditionalFormatting>
  <conditionalFormatting sqref="X21">
    <cfRule type="expression" priority="979" dxfId="0">
      <formula>=AND(X4&gt;=D21,X4&lt;=E21,D21&lt;&gt;"")</formula>
    </cfRule>
  </conditionalFormatting>
  <conditionalFormatting sqref="Y21">
    <cfRule type="expression" priority="980" dxfId="0">
      <formula>=AND(Y4&gt;=D21,Y4&lt;=E21,D21&lt;&gt;"")</formula>
    </cfRule>
  </conditionalFormatting>
  <conditionalFormatting sqref="Z21">
    <cfRule type="expression" priority="981" dxfId="0">
      <formula>=AND(Z4&gt;=D21,Z4&lt;=E21,D21&lt;&gt;"")</formula>
    </cfRule>
  </conditionalFormatting>
  <conditionalFormatting sqref="AA21">
    <cfRule type="expression" priority="982" dxfId="0">
      <formula>=AND(AA4&gt;=D21,AA4&lt;=E21,D21&lt;&gt;"")</formula>
    </cfRule>
  </conditionalFormatting>
  <conditionalFormatting sqref="AB21">
    <cfRule type="expression" priority="983" dxfId="0">
      <formula>=AND(AB4&gt;=D21,AB4&lt;=E21,D21&lt;&gt;"")</formula>
    </cfRule>
  </conditionalFormatting>
  <conditionalFormatting sqref="AC21">
    <cfRule type="expression" priority="984" dxfId="0">
      <formula>=AND(AC4&gt;=D21,AC4&lt;=E21,D21&lt;&gt;"")</formula>
    </cfRule>
  </conditionalFormatting>
  <conditionalFormatting sqref="AD21">
    <cfRule type="expression" priority="985" dxfId="0">
      <formula>=AND(AD4&gt;=D21,AD4&lt;=E21,D21&lt;&gt;"")</formula>
    </cfRule>
  </conditionalFormatting>
  <conditionalFormatting sqref="AE21">
    <cfRule type="expression" priority="986" dxfId="0">
      <formula>=AND(AE4&gt;=D21,AE4&lt;=E21,D21&lt;&gt;"")</formula>
    </cfRule>
  </conditionalFormatting>
  <conditionalFormatting sqref="AF21">
    <cfRule type="expression" priority="987" dxfId="0">
      <formula>=AND(AF4&gt;=D21,AF4&lt;=E21,D21&lt;&gt;"")</formula>
    </cfRule>
  </conditionalFormatting>
  <conditionalFormatting sqref="AG21">
    <cfRule type="expression" priority="988" dxfId="0">
      <formula>=AND(AG4&gt;=D21,AG4&lt;=E21,D21&lt;&gt;"")</formula>
    </cfRule>
  </conditionalFormatting>
  <conditionalFormatting sqref="AH21">
    <cfRule type="expression" priority="989" dxfId="0">
      <formula>=AND(AH4&gt;=D21,AH4&lt;=E21,D21&lt;&gt;"")</formula>
    </cfRule>
  </conditionalFormatting>
  <conditionalFormatting sqref="AI21">
    <cfRule type="expression" priority="990" dxfId="0">
      <formula>=AND(AI4&gt;=D21,AI4&lt;=E21,D21&lt;&gt;"")</formula>
    </cfRule>
  </conditionalFormatting>
  <conditionalFormatting sqref="AJ21">
    <cfRule type="expression" priority="991" dxfId="0">
      <formula>=AND(AJ4&gt;=D21,AJ4&lt;=E21,D21&lt;&gt;"")</formula>
    </cfRule>
  </conditionalFormatting>
  <conditionalFormatting sqref="AK21">
    <cfRule type="expression" priority="992" dxfId="0">
      <formula>=AND(AK4&gt;=D21,AK4&lt;=E21,D21&lt;&gt;"")</formula>
    </cfRule>
  </conditionalFormatting>
  <conditionalFormatting sqref="AL21">
    <cfRule type="expression" priority="993" dxfId="0">
      <formula>=AND(AL4&gt;=D21,AL4&lt;=E21,D21&lt;&gt;"")</formula>
    </cfRule>
  </conditionalFormatting>
  <conditionalFormatting sqref="AM21">
    <cfRule type="expression" priority="994" dxfId="0">
      <formula>=AND(AM4&gt;=D21,AM4&lt;=E21,D21&lt;&gt;"")</formula>
    </cfRule>
  </conditionalFormatting>
  <conditionalFormatting sqref="AN21">
    <cfRule type="expression" priority="995" dxfId="0">
      <formula>=AND(AN4&gt;=D21,AN4&lt;=E21,D21&lt;&gt;"")</formula>
    </cfRule>
  </conditionalFormatting>
  <conditionalFormatting sqref="AO21">
    <cfRule type="expression" priority="996" dxfId="0">
      <formula>=AND(AO4&gt;=D21,AO4&lt;=E21,D21&lt;&gt;"")</formula>
    </cfRule>
  </conditionalFormatting>
  <conditionalFormatting sqref="AP21">
    <cfRule type="expression" priority="997" dxfId="0">
      <formula>=AND(AP4&gt;=D21,AP4&lt;=E21,D21&lt;&gt;"")</formula>
    </cfRule>
  </conditionalFormatting>
  <conditionalFormatting sqref="AQ21">
    <cfRule type="expression" priority="998" dxfId="0">
      <formula>=AND(AQ4&gt;=D21,AQ4&lt;=E21,D21&lt;&gt;"")</formula>
    </cfRule>
  </conditionalFormatting>
  <conditionalFormatting sqref="AR21">
    <cfRule type="expression" priority="999" dxfId="0">
      <formula>=AND(AR4&gt;=D21,AR4&lt;=E21,D21&lt;&gt;"")</formula>
    </cfRule>
  </conditionalFormatting>
  <conditionalFormatting sqref="AS21">
    <cfRule type="expression" priority="1000" dxfId="0">
      <formula>=AND(AS4&gt;=D21,AS4&lt;=E21,D21&lt;&gt;"")</formula>
    </cfRule>
  </conditionalFormatting>
  <conditionalFormatting sqref="AT21">
    <cfRule type="expression" priority="1001" dxfId="0">
      <formula>=AND(AT4&gt;=D21,AT4&lt;=E21,D21&lt;&gt;"")</formula>
    </cfRule>
  </conditionalFormatting>
  <conditionalFormatting sqref="AU21">
    <cfRule type="expression" priority="1002" dxfId="0">
      <formula>=AND(AU4&gt;=D21,AU4&lt;=E21,D21&lt;&gt;"")</formula>
    </cfRule>
  </conditionalFormatting>
  <conditionalFormatting sqref="AV21">
    <cfRule type="expression" priority="1003" dxfId="0">
      <formula>=AND(AV4&gt;=D21,AV4&lt;=E21,D21&lt;&gt;"")</formula>
    </cfRule>
  </conditionalFormatting>
  <conditionalFormatting sqref="AW21">
    <cfRule type="expression" priority="1004" dxfId="0">
      <formula>=AND(AW4&gt;=D21,AW4&lt;=E21,D21&lt;&gt;"")</formula>
    </cfRule>
  </conditionalFormatting>
  <conditionalFormatting sqref="AX21">
    <cfRule type="expression" priority="1005" dxfId="0">
      <formula>=AND(AX4&gt;=D21,AX4&lt;=E21,D21&lt;&gt;"")</formula>
    </cfRule>
  </conditionalFormatting>
  <conditionalFormatting sqref="AY21">
    <cfRule type="expression" priority="1006" dxfId="0">
      <formula>=AND(AY4&gt;=D21,AY4&lt;=E21,D21&lt;&gt;"")</formula>
    </cfRule>
  </conditionalFormatting>
  <conditionalFormatting sqref="AZ21">
    <cfRule type="expression" priority="1007" dxfId="0">
      <formula>=AND(AZ4&gt;=D21,AZ4&lt;=E21,D21&lt;&gt;"")</formula>
    </cfRule>
  </conditionalFormatting>
  <conditionalFormatting sqref="BA21">
    <cfRule type="expression" priority="1008" dxfId="0">
      <formula>=AND(BA4&gt;=D21,BA4&lt;=E21,D21&lt;&gt;"")</formula>
    </cfRule>
  </conditionalFormatting>
  <conditionalFormatting sqref="BB21">
    <cfRule type="expression" priority="1009" dxfId="0">
      <formula>=AND(BB4&gt;=D21,BB4&lt;=E21,D21&lt;&gt;"")</formula>
    </cfRule>
  </conditionalFormatting>
  <conditionalFormatting sqref="BC21">
    <cfRule type="expression" priority="1010" dxfId="0">
      <formula>=AND(BC4&gt;=D21,BC4&lt;=E21,D21&lt;&gt;"")</formula>
    </cfRule>
  </conditionalFormatting>
  <conditionalFormatting sqref="BD21">
    <cfRule type="expression" priority="1011" dxfId="0">
      <formula>=AND(BD4&gt;=D21,BD4&lt;=E21,D21&lt;&gt;"")</formula>
    </cfRule>
  </conditionalFormatting>
  <conditionalFormatting sqref="BE21">
    <cfRule type="expression" priority="1012" dxfId="0">
      <formula>=AND(BE4&gt;=D21,BE4&lt;=E21,D21&lt;&gt;"")</formula>
    </cfRule>
  </conditionalFormatting>
  <conditionalFormatting sqref="BF21">
    <cfRule type="expression" priority="1013" dxfId="0">
      <formula>=AND(BF4&gt;=D21,BF4&lt;=E21,D21&lt;&gt;"")</formula>
    </cfRule>
  </conditionalFormatting>
  <conditionalFormatting sqref="BG21">
    <cfRule type="expression" priority="1014" dxfId="0">
      <formula>=AND(BG4&gt;=D21,BG4&lt;=E21,D21&lt;&gt;"")</formula>
    </cfRule>
  </conditionalFormatting>
  <conditionalFormatting sqref="BH21">
    <cfRule type="expression" priority="1015" dxfId="0">
      <formula>=AND(BH4&gt;=D21,BH4&lt;=E21,D21&lt;&gt;"")</formula>
    </cfRule>
  </conditionalFormatting>
  <conditionalFormatting sqref="BI21">
    <cfRule type="expression" priority="1016" dxfId="0">
      <formula>=AND(BI4&gt;=D21,BI4&lt;=E21,D21&lt;&gt;"")</formula>
    </cfRule>
  </conditionalFormatting>
  <conditionalFormatting sqref="BJ21">
    <cfRule type="expression" priority="1017" dxfId="0">
      <formula>=AND(BJ4&gt;=D21,BJ4&lt;=E21,D21&lt;&gt;"")</formula>
    </cfRule>
  </conditionalFormatting>
  <conditionalFormatting sqref="BK21">
    <cfRule type="expression" priority="1018" dxfId="0">
      <formula>=AND(BK4&gt;=D21,BK4&lt;=E21,D21&lt;&gt;"")</formula>
    </cfRule>
  </conditionalFormatting>
  <conditionalFormatting sqref="BL21">
    <cfRule type="expression" priority="1019" dxfId="0">
      <formula>=AND(BL4&gt;=D21,BL4&lt;=E21,D21&lt;&gt;"")</formula>
    </cfRule>
  </conditionalFormatting>
  <conditionalFormatting sqref="BM21">
    <cfRule type="expression" priority="1020" dxfId="0">
      <formula>=AND(BM4&gt;=D21,BM4&lt;=E21,D21&lt;&gt;"")</formula>
    </cfRule>
  </conditionalFormatting>
  <conditionalFormatting sqref="F22">
    <cfRule type="expression" priority="1021" dxfId="0">
      <formula>=AND(F4&gt;=D22,F4&lt;=E22,D22&lt;&gt;"")</formula>
    </cfRule>
  </conditionalFormatting>
  <conditionalFormatting sqref="G22">
    <cfRule type="expression" priority="1022" dxfId="0">
      <formula>=AND(G4&gt;=D22,G4&lt;=E22,D22&lt;&gt;"")</formula>
    </cfRule>
  </conditionalFormatting>
  <conditionalFormatting sqref="H22">
    <cfRule type="expression" priority="1023" dxfId="0">
      <formula>=AND(H4&gt;=D22,H4&lt;=E22,D22&lt;&gt;"")</formula>
    </cfRule>
  </conditionalFormatting>
  <conditionalFormatting sqref="I22">
    <cfRule type="expression" priority="1024" dxfId="0">
      <formula>=AND(I4&gt;=D22,I4&lt;=E22,D22&lt;&gt;"")</formula>
    </cfRule>
  </conditionalFormatting>
  <conditionalFormatting sqref="J22">
    <cfRule type="expression" priority="1025" dxfId="0">
      <formula>=AND(J4&gt;=D22,J4&lt;=E22,D22&lt;&gt;"")</formula>
    </cfRule>
  </conditionalFormatting>
  <conditionalFormatting sqref="K22">
    <cfRule type="expression" priority="1026" dxfId="0">
      <formula>=AND(K4&gt;=D22,K4&lt;=E22,D22&lt;&gt;"")</formula>
    </cfRule>
  </conditionalFormatting>
  <conditionalFormatting sqref="L22">
    <cfRule type="expression" priority="1027" dxfId="0">
      <formula>=AND(L4&gt;=D22,L4&lt;=E22,D22&lt;&gt;"")</formula>
    </cfRule>
  </conditionalFormatting>
  <conditionalFormatting sqref="M22">
    <cfRule type="expression" priority="1028" dxfId="0">
      <formula>=AND(M4&gt;=D22,M4&lt;=E22,D22&lt;&gt;"")</formula>
    </cfRule>
  </conditionalFormatting>
  <conditionalFormatting sqref="N22">
    <cfRule type="expression" priority="1029" dxfId="0">
      <formula>=AND(N4&gt;=D22,N4&lt;=E22,D22&lt;&gt;"")</formula>
    </cfRule>
  </conditionalFormatting>
  <conditionalFormatting sqref="O22">
    <cfRule type="expression" priority="1030" dxfId="0">
      <formula>=AND(O4&gt;=D22,O4&lt;=E22,D22&lt;&gt;"")</formula>
    </cfRule>
  </conditionalFormatting>
  <conditionalFormatting sqref="P22">
    <cfRule type="expression" priority="1031" dxfId="0">
      <formula>=AND(P4&gt;=D22,P4&lt;=E22,D22&lt;&gt;"")</formula>
    </cfRule>
  </conditionalFormatting>
  <conditionalFormatting sqref="Q22">
    <cfRule type="expression" priority="1032" dxfId="0">
      <formula>=AND(Q4&gt;=D22,Q4&lt;=E22,D22&lt;&gt;"")</formula>
    </cfRule>
  </conditionalFormatting>
  <conditionalFormatting sqref="R22">
    <cfRule type="expression" priority="1033" dxfId="0">
      <formula>=AND(R4&gt;=D22,R4&lt;=E22,D22&lt;&gt;"")</formula>
    </cfRule>
  </conditionalFormatting>
  <conditionalFormatting sqref="S22">
    <cfRule type="expression" priority="1034" dxfId="0">
      <formula>=AND(S4&gt;=D22,S4&lt;=E22,D22&lt;&gt;"")</formula>
    </cfRule>
  </conditionalFormatting>
  <conditionalFormatting sqref="T22">
    <cfRule type="expression" priority="1035" dxfId="0">
      <formula>=AND(T4&gt;=D22,T4&lt;=E22,D22&lt;&gt;"")</formula>
    </cfRule>
  </conditionalFormatting>
  <conditionalFormatting sqref="U22">
    <cfRule type="expression" priority="1036" dxfId="0">
      <formula>=AND(U4&gt;=D22,U4&lt;=E22,D22&lt;&gt;"")</formula>
    </cfRule>
  </conditionalFormatting>
  <conditionalFormatting sqref="V22">
    <cfRule type="expression" priority="1037" dxfId="0">
      <formula>=AND(V4&gt;=D22,V4&lt;=E22,D22&lt;&gt;"")</formula>
    </cfRule>
  </conditionalFormatting>
  <conditionalFormatting sqref="W22">
    <cfRule type="expression" priority="1038" dxfId="0">
      <formula>=AND(W4&gt;=D22,W4&lt;=E22,D22&lt;&gt;"")</formula>
    </cfRule>
  </conditionalFormatting>
  <conditionalFormatting sqref="X22">
    <cfRule type="expression" priority="1039" dxfId="0">
      <formula>=AND(X4&gt;=D22,X4&lt;=E22,D22&lt;&gt;"")</formula>
    </cfRule>
  </conditionalFormatting>
  <conditionalFormatting sqref="Y22">
    <cfRule type="expression" priority="1040" dxfId="0">
      <formula>=AND(Y4&gt;=D22,Y4&lt;=E22,D22&lt;&gt;"")</formula>
    </cfRule>
  </conditionalFormatting>
  <conditionalFormatting sqref="Z22">
    <cfRule type="expression" priority="1041" dxfId="0">
      <formula>=AND(Z4&gt;=D22,Z4&lt;=E22,D22&lt;&gt;"")</formula>
    </cfRule>
  </conditionalFormatting>
  <conditionalFormatting sqref="AA22">
    <cfRule type="expression" priority="1042" dxfId="0">
      <formula>=AND(AA4&gt;=D22,AA4&lt;=E22,D22&lt;&gt;"")</formula>
    </cfRule>
  </conditionalFormatting>
  <conditionalFormatting sqref="AB22">
    <cfRule type="expression" priority="1043" dxfId="0">
      <formula>=AND(AB4&gt;=D22,AB4&lt;=E22,D22&lt;&gt;"")</formula>
    </cfRule>
  </conditionalFormatting>
  <conditionalFormatting sqref="AC22">
    <cfRule type="expression" priority="1044" dxfId="0">
      <formula>=AND(AC4&gt;=D22,AC4&lt;=E22,D22&lt;&gt;"")</formula>
    </cfRule>
  </conditionalFormatting>
  <conditionalFormatting sqref="AD22">
    <cfRule type="expression" priority="1045" dxfId="0">
      <formula>=AND(AD4&gt;=D22,AD4&lt;=E22,D22&lt;&gt;"")</formula>
    </cfRule>
  </conditionalFormatting>
  <conditionalFormatting sqref="AE22">
    <cfRule type="expression" priority="1046" dxfId="0">
      <formula>=AND(AE4&gt;=D22,AE4&lt;=E22,D22&lt;&gt;"")</formula>
    </cfRule>
  </conditionalFormatting>
  <conditionalFormatting sqref="AF22">
    <cfRule type="expression" priority="1047" dxfId="0">
      <formula>=AND(AF4&gt;=D22,AF4&lt;=E22,D22&lt;&gt;"")</formula>
    </cfRule>
  </conditionalFormatting>
  <conditionalFormatting sqref="AG22">
    <cfRule type="expression" priority="1048" dxfId="0">
      <formula>=AND(AG4&gt;=D22,AG4&lt;=E22,D22&lt;&gt;"")</formula>
    </cfRule>
  </conditionalFormatting>
  <conditionalFormatting sqref="AH22">
    <cfRule type="expression" priority="1049" dxfId="0">
      <formula>=AND(AH4&gt;=D22,AH4&lt;=E22,D22&lt;&gt;"")</formula>
    </cfRule>
  </conditionalFormatting>
  <conditionalFormatting sqref="AI22">
    <cfRule type="expression" priority="1050" dxfId="0">
      <formula>=AND(AI4&gt;=D22,AI4&lt;=E22,D22&lt;&gt;"")</formula>
    </cfRule>
  </conditionalFormatting>
  <conditionalFormatting sqref="AJ22">
    <cfRule type="expression" priority="1051" dxfId="0">
      <formula>=AND(AJ4&gt;=D22,AJ4&lt;=E22,D22&lt;&gt;"")</formula>
    </cfRule>
  </conditionalFormatting>
  <conditionalFormatting sqref="AK22">
    <cfRule type="expression" priority="1052" dxfId="0">
      <formula>=AND(AK4&gt;=D22,AK4&lt;=E22,D22&lt;&gt;"")</formula>
    </cfRule>
  </conditionalFormatting>
  <conditionalFormatting sqref="AL22">
    <cfRule type="expression" priority="1053" dxfId="0">
      <formula>=AND(AL4&gt;=D22,AL4&lt;=E22,D22&lt;&gt;"")</formula>
    </cfRule>
  </conditionalFormatting>
  <conditionalFormatting sqref="AM22">
    <cfRule type="expression" priority="1054" dxfId="0">
      <formula>=AND(AM4&gt;=D22,AM4&lt;=E22,D22&lt;&gt;"")</formula>
    </cfRule>
  </conditionalFormatting>
  <conditionalFormatting sqref="AN22">
    <cfRule type="expression" priority="1055" dxfId="0">
      <formula>=AND(AN4&gt;=D22,AN4&lt;=E22,D22&lt;&gt;"")</formula>
    </cfRule>
  </conditionalFormatting>
  <conditionalFormatting sqref="AO22">
    <cfRule type="expression" priority="1056" dxfId="0">
      <formula>=AND(AO4&gt;=D22,AO4&lt;=E22,D22&lt;&gt;"")</formula>
    </cfRule>
  </conditionalFormatting>
  <conditionalFormatting sqref="AP22">
    <cfRule type="expression" priority="1057" dxfId="0">
      <formula>=AND(AP4&gt;=D22,AP4&lt;=E22,D22&lt;&gt;"")</formula>
    </cfRule>
  </conditionalFormatting>
  <conditionalFormatting sqref="AQ22">
    <cfRule type="expression" priority="1058" dxfId="0">
      <formula>=AND(AQ4&gt;=D22,AQ4&lt;=E22,D22&lt;&gt;"")</formula>
    </cfRule>
  </conditionalFormatting>
  <conditionalFormatting sqref="AR22">
    <cfRule type="expression" priority="1059" dxfId="0">
      <formula>=AND(AR4&gt;=D22,AR4&lt;=E22,D22&lt;&gt;"")</formula>
    </cfRule>
  </conditionalFormatting>
  <conditionalFormatting sqref="AS22">
    <cfRule type="expression" priority="1060" dxfId="0">
      <formula>=AND(AS4&gt;=D22,AS4&lt;=E22,D22&lt;&gt;"")</formula>
    </cfRule>
  </conditionalFormatting>
  <conditionalFormatting sqref="AT22">
    <cfRule type="expression" priority="1061" dxfId="0">
      <formula>=AND(AT4&gt;=D22,AT4&lt;=E22,D22&lt;&gt;"")</formula>
    </cfRule>
  </conditionalFormatting>
  <conditionalFormatting sqref="AU22">
    <cfRule type="expression" priority="1062" dxfId="0">
      <formula>=AND(AU4&gt;=D22,AU4&lt;=E22,D22&lt;&gt;"")</formula>
    </cfRule>
  </conditionalFormatting>
  <conditionalFormatting sqref="AV22">
    <cfRule type="expression" priority="1063" dxfId="0">
      <formula>=AND(AV4&gt;=D22,AV4&lt;=E22,D22&lt;&gt;"")</formula>
    </cfRule>
  </conditionalFormatting>
  <conditionalFormatting sqref="AW22">
    <cfRule type="expression" priority="1064" dxfId="0">
      <formula>=AND(AW4&gt;=D22,AW4&lt;=E22,D22&lt;&gt;"")</formula>
    </cfRule>
  </conditionalFormatting>
  <conditionalFormatting sqref="AX22">
    <cfRule type="expression" priority="1065" dxfId="0">
      <formula>=AND(AX4&gt;=D22,AX4&lt;=E22,D22&lt;&gt;"")</formula>
    </cfRule>
  </conditionalFormatting>
  <conditionalFormatting sqref="AY22">
    <cfRule type="expression" priority="1066" dxfId="0">
      <formula>=AND(AY4&gt;=D22,AY4&lt;=E22,D22&lt;&gt;"")</formula>
    </cfRule>
  </conditionalFormatting>
  <conditionalFormatting sqref="AZ22">
    <cfRule type="expression" priority="1067" dxfId="0">
      <formula>=AND(AZ4&gt;=D22,AZ4&lt;=E22,D22&lt;&gt;"")</formula>
    </cfRule>
  </conditionalFormatting>
  <conditionalFormatting sqref="BA22">
    <cfRule type="expression" priority="1068" dxfId="0">
      <formula>=AND(BA4&gt;=D22,BA4&lt;=E22,D22&lt;&gt;"")</formula>
    </cfRule>
  </conditionalFormatting>
  <conditionalFormatting sqref="BB22">
    <cfRule type="expression" priority="1069" dxfId="0">
      <formula>=AND(BB4&gt;=D22,BB4&lt;=E22,D22&lt;&gt;"")</formula>
    </cfRule>
  </conditionalFormatting>
  <conditionalFormatting sqref="BC22">
    <cfRule type="expression" priority="1070" dxfId="0">
      <formula>=AND(BC4&gt;=D22,BC4&lt;=E22,D22&lt;&gt;"")</formula>
    </cfRule>
  </conditionalFormatting>
  <conditionalFormatting sqref="BD22">
    <cfRule type="expression" priority="1071" dxfId="0">
      <formula>=AND(BD4&gt;=D22,BD4&lt;=E22,D22&lt;&gt;"")</formula>
    </cfRule>
  </conditionalFormatting>
  <conditionalFormatting sqref="BE22">
    <cfRule type="expression" priority="1072" dxfId="0">
      <formula>=AND(BE4&gt;=D22,BE4&lt;=E22,D22&lt;&gt;"")</formula>
    </cfRule>
  </conditionalFormatting>
  <conditionalFormatting sqref="BF22">
    <cfRule type="expression" priority="1073" dxfId="0">
      <formula>=AND(BF4&gt;=D22,BF4&lt;=E22,D22&lt;&gt;"")</formula>
    </cfRule>
  </conditionalFormatting>
  <conditionalFormatting sqref="BG22">
    <cfRule type="expression" priority="1074" dxfId="0">
      <formula>=AND(BG4&gt;=D22,BG4&lt;=E22,D22&lt;&gt;"")</formula>
    </cfRule>
  </conditionalFormatting>
  <conditionalFormatting sqref="BH22">
    <cfRule type="expression" priority="1075" dxfId="0">
      <formula>=AND(BH4&gt;=D22,BH4&lt;=E22,D22&lt;&gt;"")</formula>
    </cfRule>
  </conditionalFormatting>
  <conditionalFormatting sqref="BI22">
    <cfRule type="expression" priority="1076" dxfId="0">
      <formula>=AND(BI4&gt;=D22,BI4&lt;=E22,D22&lt;&gt;"")</formula>
    </cfRule>
  </conditionalFormatting>
  <conditionalFormatting sqref="BJ22">
    <cfRule type="expression" priority="1077" dxfId="0">
      <formula>=AND(BJ4&gt;=D22,BJ4&lt;=E22,D22&lt;&gt;"")</formula>
    </cfRule>
  </conditionalFormatting>
  <conditionalFormatting sqref="BK22">
    <cfRule type="expression" priority="1078" dxfId="0">
      <formula>=AND(BK4&gt;=D22,BK4&lt;=E22,D22&lt;&gt;"")</formula>
    </cfRule>
  </conditionalFormatting>
  <conditionalFormatting sqref="BL22">
    <cfRule type="expression" priority="1079" dxfId="0">
      <formula>=AND(BL4&gt;=D22,BL4&lt;=E22,D22&lt;&gt;"")</formula>
    </cfRule>
  </conditionalFormatting>
  <conditionalFormatting sqref="BM22">
    <cfRule type="expression" priority="1080" dxfId="0">
      <formula>=AND(BM4&gt;=D22,BM4&lt;=E22,D22&lt;&gt;"")</formula>
    </cfRule>
  </conditionalFormatting>
  <conditionalFormatting sqref="F23">
    <cfRule type="expression" priority="1081" dxfId="0">
      <formula>=AND(F4&gt;=D23,F4&lt;=E23,D23&lt;&gt;"")</formula>
    </cfRule>
  </conditionalFormatting>
  <conditionalFormatting sqref="G23">
    <cfRule type="expression" priority="1082" dxfId="0">
      <formula>=AND(G4&gt;=D23,G4&lt;=E23,D23&lt;&gt;"")</formula>
    </cfRule>
  </conditionalFormatting>
  <conditionalFormatting sqref="H23">
    <cfRule type="expression" priority="1083" dxfId="0">
      <formula>=AND(H4&gt;=D23,H4&lt;=E23,D23&lt;&gt;"")</formula>
    </cfRule>
  </conditionalFormatting>
  <conditionalFormatting sqref="I23">
    <cfRule type="expression" priority="1084" dxfId="0">
      <formula>=AND(I4&gt;=D23,I4&lt;=E23,D23&lt;&gt;"")</formula>
    </cfRule>
  </conditionalFormatting>
  <conditionalFormatting sqref="J23">
    <cfRule type="expression" priority="1085" dxfId="0">
      <formula>=AND(J4&gt;=D23,J4&lt;=E23,D23&lt;&gt;"")</formula>
    </cfRule>
  </conditionalFormatting>
  <conditionalFormatting sqref="K23">
    <cfRule type="expression" priority="1086" dxfId="0">
      <formula>=AND(K4&gt;=D23,K4&lt;=E23,D23&lt;&gt;"")</formula>
    </cfRule>
  </conditionalFormatting>
  <conditionalFormatting sqref="L23">
    <cfRule type="expression" priority="1087" dxfId="0">
      <formula>=AND(L4&gt;=D23,L4&lt;=E23,D23&lt;&gt;"")</formula>
    </cfRule>
  </conditionalFormatting>
  <conditionalFormatting sqref="M23">
    <cfRule type="expression" priority="1088" dxfId="0">
      <formula>=AND(M4&gt;=D23,M4&lt;=E23,D23&lt;&gt;"")</formula>
    </cfRule>
  </conditionalFormatting>
  <conditionalFormatting sqref="N23">
    <cfRule type="expression" priority="1089" dxfId="0">
      <formula>=AND(N4&gt;=D23,N4&lt;=E23,D23&lt;&gt;"")</formula>
    </cfRule>
  </conditionalFormatting>
  <conditionalFormatting sqref="O23">
    <cfRule type="expression" priority="1090" dxfId="0">
      <formula>=AND(O4&gt;=D23,O4&lt;=E23,D23&lt;&gt;"")</formula>
    </cfRule>
  </conditionalFormatting>
  <conditionalFormatting sqref="P23">
    <cfRule type="expression" priority="1091" dxfId="0">
      <formula>=AND(P4&gt;=D23,P4&lt;=E23,D23&lt;&gt;"")</formula>
    </cfRule>
  </conditionalFormatting>
  <conditionalFormatting sqref="Q23">
    <cfRule type="expression" priority="1092" dxfId="0">
      <formula>=AND(Q4&gt;=D23,Q4&lt;=E23,D23&lt;&gt;"")</formula>
    </cfRule>
  </conditionalFormatting>
  <conditionalFormatting sqref="R23">
    <cfRule type="expression" priority="1093" dxfId="0">
      <formula>=AND(R4&gt;=D23,R4&lt;=E23,D23&lt;&gt;"")</formula>
    </cfRule>
  </conditionalFormatting>
  <conditionalFormatting sqref="S23">
    <cfRule type="expression" priority="1094" dxfId="0">
      <formula>=AND(S4&gt;=D23,S4&lt;=E23,D23&lt;&gt;"")</formula>
    </cfRule>
  </conditionalFormatting>
  <conditionalFormatting sqref="T23">
    <cfRule type="expression" priority="1095" dxfId="0">
      <formula>=AND(T4&gt;=D23,T4&lt;=E23,D23&lt;&gt;"")</formula>
    </cfRule>
  </conditionalFormatting>
  <conditionalFormatting sqref="U23">
    <cfRule type="expression" priority="1096" dxfId="0">
      <formula>=AND(U4&gt;=D23,U4&lt;=E23,D23&lt;&gt;"")</formula>
    </cfRule>
  </conditionalFormatting>
  <conditionalFormatting sqref="V23">
    <cfRule type="expression" priority="1097" dxfId="0">
      <formula>=AND(V4&gt;=D23,V4&lt;=E23,D23&lt;&gt;"")</formula>
    </cfRule>
  </conditionalFormatting>
  <conditionalFormatting sqref="W23">
    <cfRule type="expression" priority="1098" dxfId="0">
      <formula>=AND(W4&gt;=D23,W4&lt;=E23,D23&lt;&gt;"")</formula>
    </cfRule>
  </conditionalFormatting>
  <conditionalFormatting sqref="X23">
    <cfRule type="expression" priority="1099" dxfId="0">
      <formula>=AND(X4&gt;=D23,X4&lt;=E23,D23&lt;&gt;"")</formula>
    </cfRule>
  </conditionalFormatting>
  <conditionalFormatting sqref="Y23">
    <cfRule type="expression" priority="1100" dxfId="0">
      <formula>=AND(Y4&gt;=D23,Y4&lt;=E23,D23&lt;&gt;"")</formula>
    </cfRule>
  </conditionalFormatting>
  <conditionalFormatting sqref="Z23">
    <cfRule type="expression" priority="1101" dxfId="0">
      <formula>=AND(Z4&gt;=D23,Z4&lt;=E23,D23&lt;&gt;"")</formula>
    </cfRule>
  </conditionalFormatting>
  <conditionalFormatting sqref="AA23">
    <cfRule type="expression" priority="1102" dxfId="0">
      <formula>=AND(AA4&gt;=D23,AA4&lt;=E23,D23&lt;&gt;"")</formula>
    </cfRule>
  </conditionalFormatting>
  <conditionalFormatting sqref="AB23">
    <cfRule type="expression" priority="1103" dxfId="0">
      <formula>=AND(AB4&gt;=D23,AB4&lt;=E23,D23&lt;&gt;"")</formula>
    </cfRule>
  </conditionalFormatting>
  <conditionalFormatting sqref="AC23">
    <cfRule type="expression" priority="1104" dxfId="0">
      <formula>=AND(AC4&gt;=D23,AC4&lt;=E23,D23&lt;&gt;"")</formula>
    </cfRule>
  </conditionalFormatting>
  <conditionalFormatting sqref="AD23">
    <cfRule type="expression" priority="1105" dxfId="0">
      <formula>=AND(AD4&gt;=D23,AD4&lt;=E23,D23&lt;&gt;"")</formula>
    </cfRule>
  </conditionalFormatting>
  <conditionalFormatting sqref="AE23">
    <cfRule type="expression" priority="1106" dxfId="0">
      <formula>=AND(AE4&gt;=D23,AE4&lt;=E23,D23&lt;&gt;"")</formula>
    </cfRule>
  </conditionalFormatting>
  <conditionalFormatting sqref="AF23">
    <cfRule type="expression" priority="1107" dxfId="0">
      <formula>=AND(AF4&gt;=D23,AF4&lt;=E23,D23&lt;&gt;"")</formula>
    </cfRule>
  </conditionalFormatting>
  <conditionalFormatting sqref="AG23">
    <cfRule type="expression" priority="1108" dxfId="0">
      <formula>=AND(AG4&gt;=D23,AG4&lt;=E23,D23&lt;&gt;"")</formula>
    </cfRule>
  </conditionalFormatting>
  <conditionalFormatting sqref="AH23">
    <cfRule type="expression" priority="1109" dxfId="0">
      <formula>=AND(AH4&gt;=D23,AH4&lt;=E23,D23&lt;&gt;"")</formula>
    </cfRule>
  </conditionalFormatting>
  <conditionalFormatting sqref="AI23">
    <cfRule type="expression" priority="1110" dxfId="0">
      <formula>=AND(AI4&gt;=D23,AI4&lt;=E23,D23&lt;&gt;"")</formula>
    </cfRule>
  </conditionalFormatting>
  <conditionalFormatting sqref="AJ23">
    <cfRule type="expression" priority="1111" dxfId="0">
      <formula>=AND(AJ4&gt;=D23,AJ4&lt;=E23,D23&lt;&gt;"")</formula>
    </cfRule>
  </conditionalFormatting>
  <conditionalFormatting sqref="AK23">
    <cfRule type="expression" priority="1112" dxfId="0">
      <formula>=AND(AK4&gt;=D23,AK4&lt;=E23,D23&lt;&gt;"")</formula>
    </cfRule>
  </conditionalFormatting>
  <conditionalFormatting sqref="AL23">
    <cfRule type="expression" priority="1113" dxfId="0">
      <formula>=AND(AL4&gt;=D23,AL4&lt;=E23,D23&lt;&gt;"")</formula>
    </cfRule>
  </conditionalFormatting>
  <conditionalFormatting sqref="AM23">
    <cfRule type="expression" priority="1114" dxfId="0">
      <formula>=AND(AM4&gt;=D23,AM4&lt;=E23,D23&lt;&gt;"")</formula>
    </cfRule>
  </conditionalFormatting>
  <conditionalFormatting sqref="AN23">
    <cfRule type="expression" priority="1115" dxfId="0">
      <formula>=AND(AN4&gt;=D23,AN4&lt;=E23,D23&lt;&gt;"")</formula>
    </cfRule>
  </conditionalFormatting>
  <conditionalFormatting sqref="AO23">
    <cfRule type="expression" priority="1116" dxfId="0">
      <formula>=AND(AO4&gt;=D23,AO4&lt;=E23,D23&lt;&gt;"")</formula>
    </cfRule>
  </conditionalFormatting>
  <conditionalFormatting sqref="AP23">
    <cfRule type="expression" priority="1117" dxfId="0">
      <formula>=AND(AP4&gt;=D23,AP4&lt;=E23,D23&lt;&gt;"")</formula>
    </cfRule>
  </conditionalFormatting>
  <conditionalFormatting sqref="AQ23">
    <cfRule type="expression" priority="1118" dxfId="0">
      <formula>=AND(AQ4&gt;=D23,AQ4&lt;=E23,D23&lt;&gt;"")</formula>
    </cfRule>
  </conditionalFormatting>
  <conditionalFormatting sqref="AR23">
    <cfRule type="expression" priority="1119" dxfId="0">
      <formula>=AND(AR4&gt;=D23,AR4&lt;=E23,D23&lt;&gt;"")</formula>
    </cfRule>
  </conditionalFormatting>
  <conditionalFormatting sqref="AS23">
    <cfRule type="expression" priority="1120" dxfId="0">
      <formula>=AND(AS4&gt;=D23,AS4&lt;=E23,D23&lt;&gt;"")</formula>
    </cfRule>
  </conditionalFormatting>
  <conditionalFormatting sqref="AT23">
    <cfRule type="expression" priority="1121" dxfId="0">
      <formula>=AND(AT4&gt;=D23,AT4&lt;=E23,D23&lt;&gt;"")</formula>
    </cfRule>
  </conditionalFormatting>
  <conditionalFormatting sqref="AU23">
    <cfRule type="expression" priority="1122" dxfId="0">
      <formula>=AND(AU4&gt;=D23,AU4&lt;=E23,D23&lt;&gt;"")</formula>
    </cfRule>
  </conditionalFormatting>
  <conditionalFormatting sqref="AV23">
    <cfRule type="expression" priority="1123" dxfId="0">
      <formula>=AND(AV4&gt;=D23,AV4&lt;=E23,D23&lt;&gt;"")</formula>
    </cfRule>
  </conditionalFormatting>
  <conditionalFormatting sqref="AW23">
    <cfRule type="expression" priority="1124" dxfId="0">
      <formula>=AND(AW4&gt;=D23,AW4&lt;=E23,D23&lt;&gt;"")</formula>
    </cfRule>
  </conditionalFormatting>
  <conditionalFormatting sqref="AX23">
    <cfRule type="expression" priority="1125" dxfId="0">
      <formula>=AND(AX4&gt;=D23,AX4&lt;=E23,D23&lt;&gt;"")</formula>
    </cfRule>
  </conditionalFormatting>
  <conditionalFormatting sqref="AY23">
    <cfRule type="expression" priority="1126" dxfId="0">
      <formula>=AND(AY4&gt;=D23,AY4&lt;=E23,D23&lt;&gt;"")</formula>
    </cfRule>
  </conditionalFormatting>
  <conditionalFormatting sqref="AZ23">
    <cfRule type="expression" priority="1127" dxfId="0">
      <formula>=AND(AZ4&gt;=D23,AZ4&lt;=E23,D23&lt;&gt;"")</formula>
    </cfRule>
  </conditionalFormatting>
  <conditionalFormatting sqref="BA23">
    <cfRule type="expression" priority="1128" dxfId="0">
      <formula>=AND(BA4&gt;=D23,BA4&lt;=E23,D23&lt;&gt;"")</formula>
    </cfRule>
  </conditionalFormatting>
  <conditionalFormatting sqref="BB23">
    <cfRule type="expression" priority="1129" dxfId="0">
      <formula>=AND(BB4&gt;=D23,BB4&lt;=E23,D23&lt;&gt;"")</formula>
    </cfRule>
  </conditionalFormatting>
  <conditionalFormatting sqref="BC23">
    <cfRule type="expression" priority="1130" dxfId="0">
      <formula>=AND(BC4&gt;=D23,BC4&lt;=E23,D23&lt;&gt;"")</formula>
    </cfRule>
  </conditionalFormatting>
  <conditionalFormatting sqref="BD23">
    <cfRule type="expression" priority="1131" dxfId="0">
      <formula>=AND(BD4&gt;=D23,BD4&lt;=E23,D23&lt;&gt;"")</formula>
    </cfRule>
  </conditionalFormatting>
  <conditionalFormatting sqref="BE23">
    <cfRule type="expression" priority="1132" dxfId="0">
      <formula>=AND(BE4&gt;=D23,BE4&lt;=E23,D23&lt;&gt;"")</formula>
    </cfRule>
  </conditionalFormatting>
  <conditionalFormatting sqref="BF23">
    <cfRule type="expression" priority="1133" dxfId="0">
      <formula>=AND(BF4&gt;=D23,BF4&lt;=E23,D23&lt;&gt;"")</formula>
    </cfRule>
  </conditionalFormatting>
  <conditionalFormatting sqref="BG23">
    <cfRule type="expression" priority="1134" dxfId="0">
      <formula>=AND(BG4&gt;=D23,BG4&lt;=E23,D23&lt;&gt;"")</formula>
    </cfRule>
  </conditionalFormatting>
  <conditionalFormatting sqref="BH23">
    <cfRule type="expression" priority="1135" dxfId="0">
      <formula>=AND(BH4&gt;=D23,BH4&lt;=E23,D23&lt;&gt;"")</formula>
    </cfRule>
  </conditionalFormatting>
  <conditionalFormatting sqref="BI23">
    <cfRule type="expression" priority="1136" dxfId="0">
      <formula>=AND(BI4&gt;=D23,BI4&lt;=E23,D23&lt;&gt;"")</formula>
    </cfRule>
  </conditionalFormatting>
  <conditionalFormatting sqref="BJ23">
    <cfRule type="expression" priority="1137" dxfId="0">
      <formula>=AND(BJ4&gt;=D23,BJ4&lt;=E23,D23&lt;&gt;"")</formula>
    </cfRule>
  </conditionalFormatting>
  <conditionalFormatting sqref="BK23">
    <cfRule type="expression" priority="1138" dxfId="0">
      <formula>=AND(BK4&gt;=D23,BK4&lt;=E23,D23&lt;&gt;"")</formula>
    </cfRule>
  </conditionalFormatting>
  <conditionalFormatting sqref="BL23">
    <cfRule type="expression" priority="1139" dxfId="0">
      <formula>=AND(BL4&gt;=D23,BL4&lt;=E23,D23&lt;&gt;"")</formula>
    </cfRule>
  </conditionalFormatting>
  <conditionalFormatting sqref="BM23">
    <cfRule type="expression" priority="1140" dxfId="0">
      <formula>=AND(BM4&gt;=D23,BM4&lt;=E23,D23&lt;&gt;"")</formula>
    </cfRule>
  </conditionalFormatting>
  <conditionalFormatting sqref="F24">
    <cfRule type="expression" priority="1141" dxfId="0">
      <formula>=AND(F4&gt;=D24,F4&lt;=E24,D24&lt;&gt;"")</formula>
    </cfRule>
  </conditionalFormatting>
  <conditionalFormatting sqref="G24">
    <cfRule type="expression" priority="1142" dxfId="0">
      <formula>=AND(G4&gt;=D24,G4&lt;=E24,D24&lt;&gt;"")</formula>
    </cfRule>
  </conditionalFormatting>
  <conditionalFormatting sqref="H24">
    <cfRule type="expression" priority="1143" dxfId="0">
      <formula>=AND(H4&gt;=D24,H4&lt;=E24,D24&lt;&gt;"")</formula>
    </cfRule>
  </conditionalFormatting>
  <conditionalFormatting sqref="I24">
    <cfRule type="expression" priority="1144" dxfId="0">
      <formula>=AND(I4&gt;=D24,I4&lt;=E24,D24&lt;&gt;"")</formula>
    </cfRule>
  </conditionalFormatting>
  <conditionalFormatting sqref="J24">
    <cfRule type="expression" priority="1145" dxfId="0">
      <formula>=AND(J4&gt;=D24,J4&lt;=E24,D24&lt;&gt;"")</formula>
    </cfRule>
  </conditionalFormatting>
  <conditionalFormatting sqref="K24">
    <cfRule type="expression" priority="1146" dxfId="0">
      <formula>=AND(K4&gt;=D24,K4&lt;=E24,D24&lt;&gt;"")</formula>
    </cfRule>
  </conditionalFormatting>
  <conditionalFormatting sqref="L24">
    <cfRule type="expression" priority="1147" dxfId="0">
      <formula>=AND(L4&gt;=D24,L4&lt;=E24,D24&lt;&gt;"")</formula>
    </cfRule>
  </conditionalFormatting>
  <conditionalFormatting sqref="M24">
    <cfRule type="expression" priority="1148" dxfId="0">
      <formula>=AND(M4&gt;=D24,M4&lt;=E24,D24&lt;&gt;"")</formula>
    </cfRule>
  </conditionalFormatting>
  <conditionalFormatting sqref="N24">
    <cfRule type="expression" priority="1149" dxfId="0">
      <formula>=AND(N4&gt;=D24,N4&lt;=E24,D24&lt;&gt;"")</formula>
    </cfRule>
  </conditionalFormatting>
  <conditionalFormatting sqref="O24">
    <cfRule type="expression" priority="1150" dxfId="0">
      <formula>=AND(O4&gt;=D24,O4&lt;=E24,D24&lt;&gt;"")</formula>
    </cfRule>
  </conditionalFormatting>
  <conditionalFormatting sqref="P24">
    <cfRule type="expression" priority="1151" dxfId="0">
      <formula>=AND(P4&gt;=D24,P4&lt;=E24,D24&lt;&gt;"")</formula>
    </cfRule>
  </conditionalFormatting>
  <conditionalFormatting sqref="Q24">
    <cfRule type="expression" priority="1152" dxfId="0">
      <formula>=AND(Q4&gt;=D24,Q4&lt;=E24,D24&lt;&gt;"")</formula>
    </cfRule>
  </conditionalFormatting>
  <conditionalFormatting sqref="R24">
    <cfRule type="expression" priority="1153" dxfId="0">
      <formula>=AND(R4&gt;=D24,R4&lt;=E24,D24&lt;&gt;"")</formula>
    </cfRule>
  </conditionalFormatting>
  <conditionalFormatting sqref="S24">
    <cfRule type="expression" priority="1154" dxfId="0">
      <formula>=AND(S4&gt;=D24,S4&lt;=E24,D24&lt;&gt;"")</formula>
    </cfRule>
  </conditionalFormatting>
  <conditionalFormatting sqref="T24">
    <cfRule type="expression" priority="1155" dxfId="0">
      <formula>=AND(T4&gt;=D24,T4&lt;=E24,D24&lt;&gt;"")</formula>
    </cfRule>
  </conditionalFormatting>
  <conditionalFormatting sqref="U24">
    <cfRule type="expression" priority="1156" dxfId="0">
      <formula>=AND(U4&gt;=D24,U4&lt;=E24,D24&lt;&gt;"")</formula>
    </cfRule>
  </conditionalFormatting>
  <conditionalFormatting sqref="V24">
    <cfRule type="expression" priority="1157" dxfId="0">
      <formula>=AND(V4&gt;=D24,V4&lt;=E24,D24&lt;&gt;"")</formula>
    </cfRule>
  </conditionalFormatting>
  <conditionalFormatting sqref="W24">
    <cfRule type="expression" priority="1158" dxfId="0">
      <formula>=AND(W4&gt;=D24,W4&lt;=E24,D24&lt;&gt;"")</formula>
    </cfRule>
  </conditionalFormatting>
  <conditionalFormatting sqref="X24">
    <cfRule type="expression" priority="1159" dxfId="0">
      <formula>=AND(X4&gt;=D24,X4&lt;=E24,D24&lt;&gt;"")</formula>
    </cfRule>
  </conditionalFormatting>
  <conditionalFormatting sqref="Y24">
    <cfRule type="expression" priority="1160" dxfId="0">
      <formula>=AND(Y4&gt;=D24,Y4&lt;=E24,D24&lt;&gt;"")</formula>
    </cfRule>
  </conditionalFormatting>
  <conditionalFormatting sqref="Z24">
    <cfRule type="expression" priority="1161" dxfId="0">
      <formula>=AND(Z4&gt;=D24,Z4&lt;=E24,D24&lt;&gt;"")</formula>
    </cfRule>
  </conditionalFormatting>
  <conditionalFormatting sqref="AA24">
    <cfRule type="expression" priority="1162" dxfId="0">
      <formula>=AND(AA4&gt;=D24,AA4&lt;=E24,D24&lt;&gt;"")</formula>
    </cfRule>
  </conditionalFormatting>
  <conditionalFormatting sqref="AB24">
    <cfRule type="expression" priority="1163" dxfId="0">
      <formula>=AND(AB4&gt;=D24,AB4&lt;=E24,D24&lt;&gt;"")</formula>
    </cfRule>
  </conditionalFormatting>
  <conditionalFormatting sqref="AC24">
    <cfRule type="expression" priority="1164" dxfId="0">
      <formula>=AND(AC4&gt;=D24,AC4&lt;=E24,D24&lt;&gt;"")</formula>
    </cfRule>
  </conditionalFormatting>
  <conditionalFormatting sqref="AD24">
    <cfRule type="expression" priority="1165" dxfId="0">
      <formula>=AND(AD4&gt;=D24,AD4&lt;=E24,D24&lt;&gt;"")</formula>
    </cfRule>
  </conditionalFormatting>
  <conditionalFormatting sqref="AE24">
    <cfRule type="expression" priority="1166" dxfId="0">
      <formula>=AND(AE4&gt;=D24,AE4&lt;=E24,D24&lt;&gt;"")</formula>
    </cfRule>
  </conditionalFormatting>
  <conditionalFormatting sqref="AF24">
    <cfRule type="expression" priority="1167" dxfId="0">
      <formula>=AND(AF4&gt;=D24,AF4&lt;=E24,D24&lt;&gt;"")</formula>
    </cfRule>
  </conditionalFormatting>
  <conditionalFormatting sqref="AG24">
    <cfRule type="expression" priority="1168" dxfId="0">
      <formula>=AND(AG4&gt;=D24,AG4&lt;=E24,D24&lt;&gt;"")</formula>
    </cfRule>
  </conditionalFormatting>
  <conditionalFormatting sqref="AH24">
    <cfRule type="expression" priority="1169" dxfId="0">
      <formula>=AND(AH4&gt;=D24,AH4&lt;=E24,D24&lt;&gt;"")</formula>
    </cfRule>
  </conditionalFormatting>
  <conditionalFormatting sqref="AI24">
    <cfRule type="expression" priority="1170" dxfId="0">
      <formula>=AND(AI4&gt;=D24,AI4&lt;=E24,D24&lt;&gt;"")</formula>
    </cfRule>
  </conditionalFormatting>
  <conditionalFormatting sqref="AJ24">
    <cfRule type="expression" priority="1171" dxfId="0">
      <formula>=AND(AJ4&gt;=D24,AJ4&lt;=E24,D24&lt;&gt;"")</formula>
    </cfRule>
  </conditionalFormatting>
  <conditionalFormatting sqref="AK24">
    <cfRule type="expression" priority="1172" dxfId="0">
      <formula>=AND(AK4&gt;=D24,AK4&lt;=E24,D24&lt;&gt;"")</formula>
    </cfRule>
  </conditionalFormatting>
  <conditionalFormatting sqref="AL24">
    <cfRule type="expression" priority="1173" dxfId="0">
      <formula>=AND(AL4&gt;=D24,AL4&lt;=E24,D24&lt;&gt;"")</formula>
    </cfRule>
  </conditionalFormatting>
  <conditionalFormatting sqref="AM24">
    <cfRule type="expression" priority="1174" dxfId="0">
      <formula>=AND(AM4&gt;=D24,AM4&lt;=E24,D24&lt;&gt;"")</formula>
    </cfRule>
  </conditionalFormatting>
  <conditionalFormatting sqref="AN24">
    <cfRule type="expression" priority="1175" dxfId="0">
      <formula>=AND(AN4&gt;=D24,AN4&lt;=E24,D24&lt;&gt;"")</formula>
    </cfRule>
  </conditionalFormatting>
  <conditionalFormatting sqref="AO24">
    <cfRule type="expression" priority="1176" dxfId="0">
      <formula>=AND(AO4&gt;=D24,AO4&lt;=E24,D24&lt;&gt;"")</formula>
    </cfRule>
  </conditionalFormatting>
  <conditionalFormatting sqref="AP24">
    <cfRule type="expression" priority="1177" dxfId="0">
      <formula>=AND(AP4&gt;=D24,AP4&lt;=E24,D24&lt;&gt;"")</formula>
    </cfRule>
  </conditionalFormatting>
  <conditionalFormatting sqref="AQ24">
    <cfRule type="expression" priority="1178" dxfId="0">
      <formula>=AND(AQ4&gt;=D24,AQ4&lt;=E24,D24&lt;&gt;"")</formula>
    </cfRule>
  </conditionalFormatting>
  <conditionalFormatting sqref="AR24">
    <cfRule type="expression" priority="1179" dxfId="0">
      <formula>=AND(AR4&gt;=D24,AR4&lt;=E24,D24&lt;&gt;"")</formula>
    </cfRule>
  </conditionalFormatting>
  <conditionalFormatting sqref="AS24">
    <cfRule type="expression" priority="1180" dxfId="0">
      <formula>=AND(AS4&gt;=D24,AS4&lt;=E24,D24&lt;&gt;"")</formula>
    </cfRule>
  </conditionalFormatting>
  <conditionalFormatting sqref="AT24">
    <cfRule type="expression" priority="1181" dxfId="0">
      <formula>=AND(AT4&gt;=D24,AT4&lt;=E24,D24&lt;&gt;"")</formula>
    </cfRule>
  </conditionalFormatting>
  <conditionalFormatting sqref="AU24">
    <cfRule type="expression" priority="1182" dxfId="0">
      <formula>=AND(AU4&gt;=D24,AU4&lt;=E24,D24&lt;&gt;"")</formula>
    </cfRule>
  </conditionalFormatting>
  <conditionalFormatting sqref="AV24">
    <cfRule type="expression" priority="1183" dxfId="0">
      <formula>=AND(AV4&gt;=D24,AV4&lt;=E24,D24&lt;&gt;"")</formula>
    </cfRule>
  </conditionalFormatting>
  <conditionalFormatting sqref="AW24">
    <cfRule type="expression" priority="1184" dxfId="0">
      <formula>=AND(AW4&gt;=D24,AW4&lt;=E24,D24&lt;&gt;"")</formula>
    </cfRule>
  </conditionalFormatting>
  <conditionalFormatting sqref="AX24">
    <cfRule type="expression" priority="1185" dxfId="0">
      <formula>=AND(AX4&gt;=D24,AX4&lt;=E24,D24&lt;&gt;"")</formula>
    </cfRule>
  </conditionalFormatting>
  <conditionalFormatting sqref="AY24">
    <cfRule type="expression" priority="1186" dxfId="0">
      <formula>=AND(AY4&gt;=D24,AY4&lt;=E24,D24&lt;&gt;"")</formula>
    </cfRule>
  </conditionalFormatting>
  <conditionalFormatting sqref="AZ24">
    <cfRule type="expression" priority="1187" dxfId="0">
      <formula>=AND(AZ4&gt;=D24,AZ4&lt;=E24,D24&lt;&gt;"")</formula>
    </cfRule>
  </conditionalFormatting>
  <conditionalFormatting sqref="BA24">
    <cfRule type="expression" priority="1188" dxfId="0">
      <formula>=AND(BA4&gt;=D24,BA4&lt;=E24,D24&lt;&gt;"")</formula>
    </cfRule>
  </conditionalFormatting>
  <conditionalFormatting sqref="BB24">
    <cfRule type="expression" priority="1189" dxfId="0">
      <formula>=AND(BB4&gt;=D24,BB4&lt;=E24,D24&lt;&gt;"")</formula>
    </cfRule>
  </conditionalFormatting>
  <conditionalFormatting sqref="BC24">
    <cfRule type="expression" priority="1190" dxfId="0">
      <formula>=AND(BC4&gt;=D24,BC4&lt;=E24,D24&lt;&gt;"")</formula>
    </cfRule>
  </conditionalFormatting>
  <conditionalFormatting sqref="BD24">
    <cfRule type="expression" priority="1191" dxfId="0">
      <formula>=AND(BD4&gt;=D24,BD4&lt;=E24,D24&lt;&gt;"")</formula>
    </cfRule>
  </conditionalFormatting>
  <conditionalFormatting sqref="BE24">
    <cfRule type="expression" priority="1192" dxfId="0">
      <formula>=AND(BE4&gt;=D24,BE4&lt;=E24,D24&lt;&gt;"")</formula>
    </cfRule>
  </conditionalFormatting>
  <conditionalFormatting sqref="BF24">
    <cfRule type="expression" priority="1193" dxfId="0">
      <formula>=AND(BF4&gt;=D24,BF4&lt;=E24,D24&lt;&gt;"")</formula>
    </cfRule>
  </conditionalFormatting>
  <conditionalFormatting sqref="BG24">
    <cfRule type="expression" priority="1194" dxfId="0">
      <formula>=AND(BG4&gt;=D24,BG4&lt;=E24,D24&lt;&gt;"")</formula>
    </cfRule>
  </conditionalFormatting>
  <conditionalFormatting sqref="BH24">
    <cfRule type="expression" priority="1195" dxfId="0">
      <formula>=AND(BH4&gt;=D24,BH4&lt;=E24,D24&lt;&gt;"")</formula>
    </cfRule>
  </conditionalFormatting>
  <conditionalFormatting sqref="BI24">
    <cfRule type="expression" priority="1196" dxfId="0">
      <formula>=AND(BI4&gt;=D24,BI4&lt;=E24,D24&lt;&gt;"")</formula>
    </cfRule>
  </conditionalFormatting>
  <conditionalFormatting sqref="BJ24">
    <cfRule type="expression" priority="1197" dxfId="0">
      <formula>=AND(BJ4&gt;=D24,BJ4&lt;=E24,D24&lt;&gt;"")</formula>
    </cfRule>
  </conditionalFormatting>
  <conditionalFormatting sqref="BK24">
    <cfRule type="expression" priority="1198" dxfId="0">
      <formula>=AND(BK4&gt;=D24,BK4&lt;=E24,D24&lt;&gt;"")</formula>
    </cfRule>
  </conditionalFormatting>
  <conditionalFormatting sqref="BL24">
    <cfRule type="expression" priority="1199" dxfId="0">
      <formula>=AND(BL4&gt;=D24,BL4&lt;=E24,D24&lt;&gt;"")</formula>
    </cfRule>
  </conditionalFormatting>
  <conditionalFormatting sqref="BM24">
    <cfRule type="expression" priority="1200" dxfId="0">
      <formula>=AND(BM4&gt;=D24,BM4&lt;=E24,D24&lt;&gt;"")</formula>
    </cfRule>
  </conditionalFormatting>
  <conditionalFormatting sqref="F25">
    <cfRule type="expression" priority="1201" dxfId="0">
      <formula>=AND(F4&gt;=D25,F4&lt;=E25,D25&lt;&gt;"")</formula>
    </cfRule>
  </conditionalFormatting>
  <conditionalFormatting sqref="G25">
    <cfRule type="expression" priority="1202" dxfId="0">
      <formula>=AND(G4&gt;=D25,G4&lt;=E25,D25&lt;&gt;"")</formula>
    </cfRule>
  </conditionalFormatting>
  <conditionalFormatting sqref="H25">
    <cfRule type="expression" priority="1203" dxfId="0">
      <formula>=AND(H4&gt;=D25,H4&lt;=E25,D25&lt;&gt;"")</formula>
    </cfRule>
  </conditionalFormatting>
  <conditionalFormatting sqref="I25">
    <cfRule type="expression" priority="1204" dxfId="0">
      <formula>=AND(I4&gt;=D25,I4&lt;=E25,D25&lt;&gt;"")</formula>
    </cfRule>
  </conditionalFormatting>
  <conditionalFormatting sqref="J25">
    <cfRule type="expression" priority="1205" dxfId="0">
      <formula>=AND(J4&gt;=D25,J4&lt;=E25,D25&lt;&gt;"")</formula>
    </cfRule>
  </conditionalFormatting>
  <conditionalFormatting sqref="K25">
    <cfRule type="expression" priority="1206" dxfId="0">
      <formula>=AND(K4&gt;=D25,K4&lt;=E25,D25&lt;&gt;"")</formula>
    </cfRule>
  </conditionalFormatting>
  <conditionalFormatting sqref="L25">
    <cfRule type="expression" priority="1207" dxfId="0">
      <formula>=AND(L4&gt;=D25,L4&lt;=E25,D25&lt;&gt;"")</formula>
    </cfRule>
  </conditionalFormatting>
  <conditionalFormatting sqref="M25">
    <cfRule type="expression" priority="1208" dxfId="0">
      <formula>=AND(M4&gt;=D25,M4&lt;=E25,D25&lt;&gt;"")</formula>
    </cfRule>
  </conditionalFormatting>
  <conditionalFormatting sqref="N25">
    <cfRule type="expression" priority="1209" dxfId="0">
      <formula>=AND(N4&gt;=D25,N4&lt;=E25,D25&lt;&gt;"")</formula>
    </cfRule>
  </conditionalFormatting>
  <conditionalFormatting sqref="O25">
    <cfRule type="expression" priority="1210" dxfId="0">
      <formula>=AND(O4&gt;=D25,O4&lt;=E25,D25&lt;&gt;"")</formula>
    </cfRule>
  </conditionalFormatting>
  <conditionalFormatting sqref="P25">
    <cfRule type="expression" priority="1211" dxfId="0">
      <formula>=AND(P4&gt;=D25,P4&lt;=E25,D25&lt;&gt;"")</formula>
    </cfRule>
  </conditionalFormatting>
  <conditionalFormatting sqref="Q25">
    <cfRule type="expression" priority="1212" dxfId="0">
      <formula>=AND(Q4&gt;=D25,Q4&lt;=E25,D25&lt;&gt;"")</formula>
    </cfRule>
  </conditionalFormatting>
  <conditionalFormatting sqref="R25">
    <cfRule type="expression" priority="1213" dxfId="0">
      <formula>=AND(R4&gt;=D25,R4&lt;=E25,D25&lt;&gt;"")</formula>
    </cfRule>
  </conditionalFormatting>
  <conditionalFormatting sqref="S25">
    <cfRule type="expression" priority="1214" dxfId="0">
      <formula>=AND(S4&gt;=D25,S4&lt;=E25,D25&lt;&gt;"")</formula>
    </cfRule>
  </conditionalFormatting>
  <conditionalFormatting sqref="T25">
    <cfRule type="expression" priority="1215" dxfId="0">
      <formula>=AND(T4&gt;=D25,T4&lt;=E25,D25&lt;&gt;"")</formula>
    </cfRule>
  </conditionalFormatting>
  <conditionalFormatting sqref="U25">
    <cfRule type="expression" priority="1216" dxfId="0">
      <formula>=AND(U4&gt;=D25,U4&lt;=E25,D25&lt;&gt;"")</formula>
    </cfRule>
  </conditionalFormatting>
  <conditionalFormatting sqref="V25">
    <cfRule type="expression" priority="1217" dxfId="0">
      <formula>=AND(V4&gt;=D25,V4&lt;=E25,D25&lt;&gt;"")</formula>
    </cfRule>
  </conditionalFormatting>
  <conditionalFormatting sqref="W25">
    <cfRule type="expression" priority="1218" dxfId="0">
      <formula>=AND(W4&gt;=D25,W4&lt;=E25,D25&lt;&gt;"")</formula>
    </cfRule>
  </conditionalFormatting>
  <conditionalFormatting sqref="X25">
    <cfRule type="expression" priority="1219" dxfId="0">
      <formula>=AND(X4&gt;=D25,X4&lt;=E25,D25&lt;&gt;"")</formula>
    </cfRule>
  </conditionalFormatting>
  <conditionalFormatting sqref="Y25">
    <cfRule type="expression" priority="1220" dxfId="0">
      <formula>=AND(Y4&gt;=D25,Y4&lt;=E25,D25&lt;&gt;"")</formula>
    </cfRule>
  </conditionalFormatting>
  <conditionalFormatting sqref="Z25">
    <cfRule type="expression" priority="1221" dxfId="0">
      <formula>=AND(Z4&gt;=D25,Z4&lt;=E25,D25&lt;&gt;"")</formula>
    </cfRule>
  </conditionalFormatting>
  <conditionalFormatting sqref="AA25">
    <cfRule type="expression" priority="1222" dxfId="0">
      <formula>=AND(AA4&gt;=D25,AA4&lt;=E25,D25&lt;&gt;"")</formula>
    </cfRule>
  </conditionalFormatting>
  <conditionalFormatting sqref="AB25">
    <cfRule type="expression" priority="1223" dxfId="0">
      <formula>=AND(AB4&gt;=D25,AB4&lt;=E25,D25&lt;&gt;"")</formula>
    </cfRule>
  </conditionalFormatting>
  <conditionalFormatting sqref="AC25">
    <cfRule type="expression" priority="1224" dxfId="0">
      <formula>=AND(AC4&gt;=D25,AC4&lt;=E25,D25&lt;&gt;"")</formula>
    </cfRule>
  </conditionalFormatting>
  <conditionalFormatting sqref="AD25">
    <cfRule type="expression" priority="1225" dxfId="0">
      <formula>=AND(AD4&gt;=D25,AD4&lt;=E25,D25&lt;&gt;"")</formula>
    </cfRule>
  </conditionalFormatting>
  <conditionalFormatting sqref="AE25">
    <cfRule type="expression" priority="1226" dxfId="0">
      <formula>=AND(AE4&gt;=D25,AE4&lt;=E25,D25&lt;&gt;"")</formula>
    </cfRule>
  </conditionalFormatting>
  <conditionalFormatting sqref="AF25">
    <cfRule type="expression" priority="1227" dxfId="0">
      <formula>=AND(AF4&gt;=D25,AF4&lt;=E25,D25&lt;&gt;"")</formula>
    </cfRule>
  </conditionalFormatting>
  <conditionalFormatting sqref="AG25">
    <cfRule type="expression" priority="1228" dxfId="0">
      <formula>=AND(AG4&gt;=D25,AG4&lt;=E25,D25&lt;&gt;"")</formula>
    </cfRule>
  </conditionalFormatting>
  <conditionalFormatting sqref="AH25">
    <cfRule type="expression" priority="1229" dxfId="0">
      <formula>=AND(AH4&gt;=D25,AH4&lt;=E25,D25&lt;&gt;"")</formula>
    </cfRule>
  </conditionalFormatting>
  <conditionalFormatting sqref="AI25">
    <cfRule type="expression" priority="1230" dxfId="0">
      <formula>=AND(AI4&gt;=D25,AI4&lt;=E25,D25&lt;&gt;"")</formula>
    </cfRule>
  </conditionalFormatting>
  <conditionalFormatting sqref="AJ25">
    <cfRule type="expression" priority="1231" dxfId="0">
      <formula>=AND(AJ4&gt;=D25,AJ4&lt;=E25,D25&lt;&gt;"")</formula>
    </cfRule>
  </conditionalFormatting>
  <conditionalFormatting sqref="AK25">
    <cfRule type="expression" priority="1232" dxfId="0">
      <formula>=AND(AK4&gt;=D25,AK4&lt;=E25,D25&lt;&gt;"")</formula>
    </cfRule>
  </conditionalFormatting>
  <conditionalFormatting sqref="AL25">
    <cfRule type="expression" priority="1233" dxfId="0">
      <formula>=AND(AL4&gt;=D25,AL4&lt;=E25,D25&lt;&gt;"")</formula>
    </cfRule>
  </conditionalFormatting>
  <conditionalFormatting sqref="AM25">
    <cfRule type="expression" priority="1234" dxfId="0">
      <formula>=AND(AM4&gt;=D25,AM4&lt;=E25,D25&lt;&gt;"")</formula>
    </cfRule>
  </conditionalFormatting>
  <conditionalFormatting sqref="AN25">
    <cfRule type="expression" priority="1235" dxfId="0">
      <formula>=AND(AN4&gt;=D25,AN4&lt;=E25,D25&lt;&gt;"")</formula>
    </cfRule>
  </conditionalFormatting>
  <conditionalFormatting sqref="AO25">
    <cfRule type="expression" priority="1236" dxfId="0">
      <formula>=AND(AO4&gt;=D25,AO4&lt;=E25,D25&lt;&gt;"")</formula>
    </cfRule>
  </conditionalFormatting>
  <conditionalFormatting sqref="AP25">
    <cfRule type="expression" priority="1237" dxfId="0">
      <formula>=AND(AP4&gt;=D25,AP4&lt;=E25,D25&lt;&gt;"")</formula>
    </cfRule>
  </conditionalFormatting>
  <conditionalFormatting sqref="AQ25">
    <cfRule type="expression" priority="1238" dxfId="0">
      <formula>=AND(AQ4&gt;=D25,AQ4&lt;=E25,D25&lt;&gt;"")</formula>
    </cfRule>
  </conditionalFormatting>
  <conditionalFormatting sqref="AR25">
    <cfRule type="expression" priority="1239" dxfId="0">
      <formula>=AND(AR4&gt;=D25,AR4&lt;=E25,D25&lt;&gt;"")</formula>
    </cfRule>
  </conditionalFormatting>
  <conditionalFormatting sqref="AS25">
    <cfRule type="expression" priority="1240" dxfId="0">
      <formula>=AND(AS4&gt;=D25,AS4&lt;=E25,D25&lt;&gt;"")</formula>
    </cfRule>
  </conditionalFormatting>
  <conditionalFormatting sqref="AT25">
    <cfRule type="expression" priority="1241" dxfId="0">
      <formula>=AND(AT4&gt;=D25,AT4&lt;=E25,D25&lt;&gt;"")</formula>
    </cfRule>
  </conditionalFormatting>
  <conditionalFormatting sqref="AU25">
    <cfRule type="expression" priority="1242" dxfId="0">
      <formula>=AND(AU4&gt;=D25,AU4&lt;=E25,D25&lt;&gt;"")</formula>
    </cfRule>
  </conditionalFormatting>
  <conditionalFormatting sqref="AV25">
    <cfRule type="expression" priority="1243" dxfId="0">
      <formula>=AND(AV4&gt;=D25,AV4&lt;=E25,D25&lt;&gt;"")</formula>
    </cfRule>
  </conditionalFormatting>
  <conditionalFormatting sqref="AW25">
    <cfRule type="expression" priority="1244" dxfId="0">
      <formula>=AND(AW4&gt;=D25,AW4&lt;=E25,D25&lt;&gt;"")</formula>
    </cfRule>
  </conditionalFormatting>
  <conditionalFormatting sqref="AX25">
    <cfRule type="expression" priority="1245" dxfId="0">
      <formula>=AND(AX4&gt;=D25,AX4&lt;=E25,D25&lt;&gt;"")</formula>
    </cfRule>
  </conditionalFormatting>
  <conditionalFormatting sqref="AY25">
    <cfRule type="expression" priority="1246" dxfId="0">
      <formula>=AND(AY4&gt;=D25,AY4&lt;=E25,D25&lt;&gt;"")</formula>
    </cfRule>
  </conditionalFormatting>
  <conditionalFormatting sqref="AZ25">
    <cfRule type="expression" priority="1247" dxfId="0">
      <formula>=AND(AZ4&gt;=D25,AZ4&lt;=E25,D25&lt;&gt;"")</formula>
    </cfRule>
  </conditionalFormatting>
  <conditionalFormatting sqref="BA25">
    <cfRule type="expression" priority="1248" dxfId="0">
      <formula>=AND(BA4&gt;=D25,BA4&lt;=E25,D25&lt;&gt;"")</formula>
    </cfRule>
  </conditionalFormatting>
  <conditionalFormatting sqref="BB25">
    <cfRule type="expression" priority="1249" dxfId="0">
      <formula>=AND(BB4&gt;=D25,BB4&lt;=E25,D25&lt;&gt;"")</formula>
    </cfRule>
  </conditionalFormatting>
  <conditionalFormatting sqref="BC25">
    <cfRule type="expression" priority="1250" dxfId="0">
      <formula>=AND(BC4&gt;=D25,BC4&lt;=E25,D25&lt;&gt;"")</formula>
    </cfRule>
  </conditionalFormatting>
  <conditionalFormatting sqref="BD25">
    <cfRule type="expression" priority="1251" dxfId="0">
      <formula>=AND(BD4&gt;=D25,BD4&lt;=E25,D25&lt;&gt;"")</formula>
    </cfRule>
  </conditionalFormatting>
  <conditionalFormatting sqref="BE25">
    <cfRule type="expression" priority="1252" dxfId="0">
      <formula>=AND(BE4&gt;=D25,BE4&lt;=E25,D25&lt;&gt;"")</formula>
    </cfRule>
  </conditionalFormatting>
  <conditionalFormatting sqref="BF25">
    <cfRule type="expression" priority="1253" dxfId="0">
      <formula>=AND(BF4&gt;=D25,BF4&lt;=E25,D25&lt;&gt;"")</formula>
    </cfRule>
  </conditionalFormatting>
  <conditionalFormatting sqref="BG25">
    <cfRule type="expression" priority="1254" dxfId="0">
      <formula>=AND(BG4&gt;=D25,BG4&lt;=E25,D25&lt;&gt;"")</formula>
    </cfRule>
  </conditionalFormatting>
  <conditionalFormatting sqref="BH25">
    <cfRule type="expression" priority="1255" dxfId="0">
      <formula>=AND(BH4&gt;=D25,BH4&lt;=E25,D25&lt;&gt;"")</formula>
    </cfRule>
  </conditionalFormatting>
  <conditionalFormatting sqref="BI25">
    <cfRule type="expression" priority="1256" dxfId="0">
      <formula>=AND(BI4&gt;=D25,BI4&lt;=E25,D25&lt;&gt;"")</formula>
    </cfRule>
  </conditionalFormatting>
  <conditionalFormatting sqref="BJ25">
    <cfRule type="expression" priority="1257" dxfId="0">
      <formula>=AND(BJ4&gt;=D25,BJ4&lt;=E25,D25&lt;&gt;"")</formula>
    </cfRule>
  </conditionalFormatting>
  <conditionalFormatting sqref="BK25">
    <cfRule type="expression" priority="1258" dxfId="0">
      <formula>=AND(BK4&gt;=D25,BK4&lt;=E25,D25&lt;&gt;"")</formula>
    </cfRule>
  </conditionalFormatting>
  <conditionalFormatting sqref="BL25">
    <cfRule type="expression" priority="1259" dxfId="0">
      <formula>=AND(BL4&gt;=D25,BL4&lt;=E25,D25&lt;&gt;"")</formula>
    </cfRule>
  </conditionalFormatting>
  <conditionalFormatting sqref="BM25">
    <cfRule type="expression" priority="1260" dxfId="0">
      <formula>=AND(BM4&gt;=D25,BM4&lt;=E25,D25&lt;&gt;"")</formula>
    </cfRule>
  </conditionalFormatting>
  <conditionalFormatting sqref="F26">
    <cfRule type="expression" priority="1261" dxfId="0">
      <formula>=AND(F4&gt;=D26,F4&lt;=E26,D26&lt;&gt;"")</formula>
    </cfRule>
  </conditionalFormatting>
  <conditionalFormatting sqref="G26">
    <cfRule type="expression" priority="1262" dxfId="0">
      <formula>=AND(G4&gt;=D26,G4&lt;=E26,D26&lt;&gt;"")</formula>
    </cfRule>
  </conditionalFormatting>
  <conditionalFormatting sqref="H26">
    <cfRule type="expression" priority="1263" dxfId="0">
      <formula>=AND(H4&gt;=D26,H4&lt;=E26,D26&lt;&gt;"")</formula>
    </cfRule>
  </conditionalFormatting>
  <conditionalFormatting sqref="I26">
    <cfRule type="expression" priority="1264" dxfId="0">
      <formula>=AND(I4&gt;=D26,I4&lt;=E26,D26&lt;&gt;"")</formula>
    </cfRule>
  </conditionalFormatting>
  <conditionalFormatting sqref="J26">
    <cfRule type="expression" priority="1265" dxfId="0">
      <formula>=AND(J4&gt;=D26,J4&lt;=E26,D26&lt;&gt;"")</formula>
    </cfRule>
  </conditionalFormatting>
  <conditionalFormatting sqref="K26">
    <cfRule type="expression" priority="1266" dxfId="0">
      <formula>=AND(K4&gt;=D26,K4&lt;=E26,D26&lt;&gt;"")</formula>
    </cfRule>
  </conditionalFormatting>
  <conditionalFormatting sqref="L26">
    <cfRule type="expression" priority="1267" dxfId="0">
      <formula>=AND(L4&gt;=D26,L4&lt;=E26,D26&lt;&gt;"")</formula>
    </cfRule>
  </conditionalFormatting>
  <conditionalFormatting sqref="M26">
    <cfRule type="expression" priority="1268" dxfId="0">
      <formula>=AND(M4&gt;=D26,M4&lt;=E26,D26&lt;&gt;"")</formula>
    </cfRule>
  </conditionalFormatting>
  <conditionalFormatting sqref="N26">
    <cfRule type="expression" priority="1269" dxfId="0">
      <formula>=AND(N4&gt;=D26,N4&lt;=E26,D26&lt;&gt;"")</formula>
    </cfRule>
  </conditionalFormatting>
  <conditionalFormatting sqref="O26">
    <cfRule type="expression" priority="1270" dxfId="0">
      <formula>=AND(O4&gt;=D26,O4&lt;=E26,D26&lt;&gt;"")</formula>
    </cfRule>
  </conditionalFormatting>
  <conditionalFormatting sqref="P26">
    <cfRule type="expression" priority="1271" dxfId="0">
      <formula>=AND(P4&gt;=D26,P4&lt;=E26,D26&lt;&gt;"")</formula>
    </cfRule>
  </conditionalFormatting>
  <conditionalFormatting sqref="Q26">
    <cfRule type="expression" priority="1272" dxfId="0">
      <formula>=AND(Q4&gt;=D26,Q4&lt;=E26,D26&lt;&gt;"")</formula>
    </cfRule>
  </conditionalFormatting>
  <conditionalFormatting sqref="R26">
    <cfRule type="expression" priority="1273" dxfId="0">
      <formula>=AND(R4&gt;=D26,R4&lt;=E26,D26&lt;&gt;"")</formula>
    </cfRule>
  </conditionalFormatting>
  <conditionalFormatting sqref="S26">
    <cfRule type="expression" priority="1274" dxfId="0">
      <formula>=AND(S4&gt;=D26,S4&lt;=E26,D26&lt;&gt;"")</formula>
    </cfRule>
  </conditionalFormatting>
  <conditionalFormatting sqref="T26">
    <cfRule type="expression" priority="1275" dxfId="0">
      <formula>=AND(T4&gt;=D26,T4&lt;=E26,D26&lt;&gt;"")</formula>
    </cfRule>
  </conditionalFormatting>
  <conditionalFormatting sqref="U26">
    <cfRule type="expression" priority="1276" dxfId="0">
      <formula>=AND(U4&gt;=D26,U4&lt;=E26,D26&lt;&gt;"")</formula>
    </cfRule>
  </conditionalFormatting>
  <conditionalFormatting sqref="V26">
    <cfRule type="expression" priority="1277" dxfId="0">
      <formula>=AND(V4&gt;=D26,V4&lt;=E26,D26&lt;&gt;"")</formula>
    </cfRule>
  </conditionalFormatting>
  <conditionalFormatting sqref="W26">
    <cfRule type="expression" priority="1278" dxfId="0">
      <formula>=AND(W4&gt;=D26,W4&lt;=E26,D26&lt;&gt;"")</formula>
    </cfRule>
  </conditionalFormatting>
  <conditionalFormatting sqref="X26">
    <cfRule type="expression" priority="1279" dxfId="0">
      <formula>=AND(X4&gt;=D26,X4&lt;=E26,D26&lt;&gt;"")</formula>
    </cfRule>
  </conditionalFormatting>
  <conditionalFormatting sqref="Y26">
    <cfRule type="expression" priority="1280" dxfId="0">
      <formula>=AND(Y4&gt;=D26,Y4&lt;=E26,D26&lt;&gt;"")</formula>
    </cfRule>
  </conditionalFormatting>
  <conditionalFormatting sqref="Z26">
    <cfRule type="expression" priority="1281" dxfId="0">
      <formula>=AND(Z4&gt;=D26,Z4&lt;=E26,D26&lt;&gt;"")</formula>
    </cfRule>
  </conditionalFormatting>
  <conditionalFormatting sqref="AA26">
    <cfRule type="expression" priority="1282" dxfId="0">
      <formula>=AND(AA4&gt;=D26,AA4&lt;=E26,D26&lt;&gt;"")</formula>
    </cfRule>
  </conditionalFormatting>
  <conditionalFormatting sqref="AB26">
    <cfRule type="expression" priority="1283" dxfId="0">
      <formula>=AND(AB4&gt;=D26,AB4&lt;=E26,D26&lt;&gt;"")</formula>
    </cfRule>
  </conditionalFormatting>
  <conditionalFormatting sqref="AC26">
    <cfRule type="expression" priority="1284" dxfId="0">
      <formula>=AND(AC4&gt;=D26,AC4&lt;=E26,D26&lt;&gt;"")</formula>
    </cfRule>
  </conditionalFormatting>
  <conditionalFormatting sqref="AD26">
    <cfRule type="expression" priority="1285" dxfId="0">
      <formula>=AND(AD4&gt;=D26,AD4&lt;=E26,D26&lt;&gt;"")</formula>
    </cfRule>
  </conditionalFormatting>
  <conditionalFormatting sqref="AE26">
    <cfRule type="expression" priority="1286" dxfId="0">
      <formula>=AND(AE4&gt;=D26,AE4&lt;=E26,D26&lt;&gt;"")</formula>
    </cfRule>
  </conditionalFormatting>
  <conditionalFormatting sqref="AF26">
    <cfRule type="expression" priority="1287" dxfId="0">
      <formula>=AND(AF4&gt;=D26,AF4&lt;=E26,D26&lt;&gt;"")</formula>
    </cfRule>
  </conditionalFormatting>
  <conditionalFormatting sqref="AG26">
    <cfRule type="expression" priority="1288" dxfId="0">
      <formula>=AND(AG4&gt;=D26,AG4&lt;=E26,D26&lt;&gt;"")</formula>
    </cfRule>
  </conditionalFormatting>
  <conditionalFormatting sqref="AH26">
    <cfRule type="expression" priority="1289" dxfId="0">
      <formula>=AND(AH4&gt;=D26,AH4&lt;=E26,D26&lt;&gt;"")</formula>
    </cfRule>
  </conditionalFormatting>
  <conditionalFormatting sqref="AI26">
    <cfRule type="expression" priority="1290" dxfId="0">
      <formula>=AND(AI4&gt;=D26,AI4&lt;=E26,D26&lt;&gt;"")</formula>
    </cfRule>
  </conditionalFormatting>
  <conditionalFormatting sqref="AJ26">
    <cfRule type="expression" priority="1291" dxfId="0">
      <formula>=AND(AJ4&gt;=D26,AJ4&lt;=E26,D26&lt;&gt;"")</formula>
    </cfRule>
  </conditionalFormatting>
  <conditionalFormatting sqref="AK26">
    <cfRule type="expression" priority="1292" dxfId="0">
      <formula>=AND(AK4&gt;=D26,AK4&lt;=E26,D26&lt;&gt;"")</formula>
    </cfRule>
  </conditionalFormatting>
  <conditionalFormatting sqref="AL26">
    <cfRule type="expression" priority="1293" dxfId="0">
      <formula>=AND(AL4&gt;=D26,AL4&lt;=E26,D26&lt;&gt;"")</formula>
    </cfRule>
  </conditionalFormatting>
  <conditionalFormatting sqref="AM26">
    <cfRule type="expression" priority="1294" dxfId="0">
      <formula>=AND(AM4&gt;=D26,AM4&lt;=E26,D26&lt;&gt;"")</formula>
    </cfRule>
  </conditionalFormatting>
  <conditionalFormatting sqref="AN26">
    <cfRule type="expression" priority="1295" dxfId="0">
      <formula>=AND(AN4&gt;=D26,AN4&lt;=E26,D26&lt;&gt;"")</formula>
    </cfRule>
  </conditionalFormatting>
  <conditionalFormatting sqref="AO26">
    <cfRule type="expression" priority="1296" dxfId="0">
      <formula>=AND(AO4&gt;=D26,AO4&lt;=E26,D26&lt;&gt;"")</formula>
    </cfRule>
  </conditionalFormatting>
  <conditionalFormatting sqref="AP26">
    <cfRule type="expression" priority="1297" dxfId="0">
      <formula>=AND(AP4&gt;=D26,AP4&lt;=E26,D26&lt;&gt;"")</formula>
    </cfRule>
  </conditionalFormatting>
  <conditionalFormatting sqref="AQ26">
    <cfRule type="expression" priority="1298" dxfId="0">
      <formula>=AND(AQ4&gt;=D26,AQ4&lt;=E26,D26&lt;&gt;"")</formula>
    </cfRule>
  </conditionalFormatting>
  <conditionalFormatting sqref="AR26">
    <cfRule type="expression" priority="1299" dxfId="0">
      <formula>=AND(AR4&gt;=D26,AR4&lt;=E26,D26&lt;&gt;"")</formula>
    </cfRule>
  </conditionalFormatting>
  <conditionalFormatting sqref="AS26">
    <cfRule type="expression" priority="1300" dxfId="0">
      <formula>=AND(AS4&gt;=D26,AS4&lt;=E26,D26&lt;&gt;"")</formula>
    </cfRule>
  </conditionalFormatting>
  <conditionalFormatting sqref="AT26">
    <cfRule type="expression" priority="1301" dxfId="0">
      <formula>=AND(AT4&gt;=D26,AT4&lt;=E26,D26&lt;&gt;"")</formula>
    </cfRule>
  </conditionalFormatting>
  <conditionalFormatting sqref="AU26">
    <cfRule type="expression" priority="1302" dxfId="0">
      <formula>=AND(AU4&gt;=D26,AU4&lt;=E26,D26&lt;&gt;"")</formula>
    </cfRule>
  </conditionalFormatting>
  <conditionalFormatting sqref="AV26">
    <cfRule type="expression" priority="1303" dxfId="0">
      <formula>=AND(AV4&gt;=D26,AV4&lt;=E26,D26&lt;&gt;"")</formula>
    </cfRule>
  </conditionalFormatting>
  <conditionalFormatting sqref="AW26">
    <cfRule type="expression" priority="1304" dxfId="0">
      <formula>=AND(AW4&gt;=D26,AW4&lt;=E26,D26&lt;&gt;"")</formula>
    </cfRule>
  </conditionalFormatting>
  <conditionalFormatting sqref="AX26">
    <cfRule type="expression" priority="1305" dxfId="0">
      <formula>=AND(AX4&gt;=D26,AX4&lt;=E26,D26&lt;&gt;"")</formula>
    </cfRule>
  </conditionalFormatting>
  <conditionalFormatting sqref="AY26">
    <cfRule type="expression" priority="1306" dxfId="0">
      <formula>=AND(AY4&gt;=D26,AY4&lt;=E26,D26&lt;&gt;"")</formula>
    </cfRule>
  </conditionalFormatting>
  <conditionalFormatting sqref="AZ26">
    <cfRule type="expression" priority="1307" dxfId="0">
      <formula>=AND(AZ4&gt;=D26,AZ4&lt;=E26,D26&lt;&gt;"")</formula>
    </cfRule>
  </conditionalFormatting>
  <conditionalFormatting sqref="BA26">
    <cfRule type="expression" priority="1308" dxfId="0">
      <formula>=AND(BA4&gt;=D26,BA4&lt;=E26,D26&lt;&gt;"")</formula>
    </cfRule>
  </conditionalFormatting>
  <conditionalFormatting sqref="BB26">
    <cfRule type="expression" priority="1309" dxfId="0">
      <formula>=AND(BB4&gt;=D26,BB4&lt;=E26,D26&lt;&gt;"")</formula>
    </cfRule>
  </conditionalFormatting>
  <conditionalFormatting sqref="BC26">
    <cfRule type="expression" priority="1310" dxfId="0">
      <formula>=AND(BC4&gt;=D26,BC4&lt;=E26,D26&lt;&gt;"")</formula>
    </cfRule>
  </conditionalFormatting>
  <conditionalFormatting sqref="BD26">
    <cfRule type="expression" priority="1311" dxfId="0">
      <formula>=AND(BD4&gt;=D26,BD4&lt;=E26,D26&lt;&gt;"")</formula>
    </cfRule>
  </conditionalFormatting>
  <conditionalFormatting sqref="BE26">
    <cfRule type="expression" priority="1312" dxfId="0">
      <formula>=AND(BE4&gt;=D26,BE4&lt;=E26,D26&lt;&gt;"")</formula>
    </cfRule>
  </conditionalFormatting>
  <conditionalFormatting sqref="BF26">
    <cfRule type="expression" priority="1313" dxfId="0">
      <formula>=AND(BF4&gt;=D26,BF4&lt;=E26,D26&lt;&gt;"")</formula>
    </cfRule>
  </conditionalFormatting>
  <conditionalFormatting sqref="BG26">
    <cfRule type="expression" priority="1314" dxfId="0">
      <formula>=AND(BG4&gt;=D26,BG4&lt;=E26,D26&lt;&gt;"")</formula>
    </cfRule>
  </conditionalFormatting>
  <conditionalFormatting sqref="BH26">
    <cfRule type="expression" priority="1315" dxfId="0">
      <formula>=AND(BH4&gt;=D26,BH4&lt;=E26,D26&lt;&gt;"")</formula>
    </cfRule>
  </conditionalFormatting>
  <conditionalFormatting sqref="BI26">
    <cfRule type="expression" priority="1316" dxfId="0">
      <formula>=AND(BI4&gt;=D26,BI4&lt;=E26,D26&lt;&gt;"")</formula>
    </cfRule>
  </conditionalFormatting>
  <conditionalFormatting sqref="BJ26">
    <cfRule type="expression" priority="1317" dxfId="0">
      <formula>=AND(BJ4&gt;=D26,BJ4&lt;=E26,D26&lt;&gt;"")</formula>
    </cfRule>
  </conditionalFormatting>
  <conditionalFormatting sqref="BK26">
    <cfRule type="expression" priority="1318" dxfId="0">
      <formula>=AND(BK4&gt;=D26,BK4&lt;=E26,D26&lt;&gt;"")</formula>
    </cfRule>
  </conditionalFormatting>
  <conditionalFormatting sqref="BL26">
    <cfRule type="expression" priority="1319" dxfId="0">
      <formula>=AND(BL4&gt;=D26,BL4&lt;=E26,D26&lt;&gt;"")</formula>
    </cfRule>
  </conditionalFormatting>
  <conditionalFormatting sqref="BM26">
    <cfRule type="expression" priority="1320" dxfId="0">
      <formula>=AND(BM4&gt;=D26,BM4&lt;=E26,D26&lt;&gt;"")</formula>
    </cfRule>
  </conditionalFormatting>
  <conditionalFormatting sqref="F27">
    <cfRule type="expression" priority="1321" dxfId="0">
      <formula>=AND(F4&gt;=D27,F4&lt;=E27,D27&lt;&gt;"")</formula>
    </cfRule>
  </conditionalFormatting>
  <conditionalFormatting sqref="G27">
    <cfRule type="expression" priority="1322" dxfId="0">
      <formula>=AND(G4&gt;=D27,G4&lt;=E27,D27&lt;&gt;"")</formula>
    </cfRule>
  </conditionalFormatting>
  <conditionalFormatting sqref="H27">
    <cfRule type="expression" priority="1323" dxfId="0">
      <formula>=AND(H4&gt;=D27,H4&lt;=E27,D27&lt;&gt;"")</formula>
    </cfRule>
  </conditionalFormatting>
  <conditionalFormatting sqref="I27">
    <cfRule type="expression" priority="1324" dxfId="0">
      <formula>=AND(I4&gt;=D27,I4&lt;=E27,D27&lt;&gt;"")</formula>
    </cfRule>
  </conditionalFormatting>
  <conditionalFormatting sqref="J27">
    <cfRule type="expression" priority="1325" dxfId="0">
      <formula>=AND(J4&gt;=D27,J4&lt;=E27,D27&lt;&gt;"")</formula>
    </cfRule>
  </conditionalFormatting>
  <conditionalFormatting sqref="K27">
    <cfRule type="expression" priority="1326" dxfId="0">
      <formula>=AND(K4&gt;=D27,K4&lt;=E27,D27&lt;&gt;"")</formula>
    </cfRule>
  </conditionalFormatting>
  <conditionalFormatting sqref="L27">
    <cfRule type="expression" priority="1327" dxfId="0">
      <formula>=AND(L4&gt;=D27,L4&lt;=E27,D27&lt;&gt;"")</formula>
    </cfRule>
  </conditionalFormatting>
  <conditionalFormatting sqref="M27">
    <cfRule type="expression" priority="1328" dxfId="0">
      <formula>=AND(M4&gt;=D27,M4&lt;=E27,D27&lt;&gt;"")</formula>
    </cfRule>
  </conditionalFormatting>
  <conditionalFormatting sqref="N27">
    <cfRule type="expression" priority="1329" dxfId="0">
      <formula>=AND(N4&gt;=D27,N4&lt;=E27,D27&lt;&gt;"")</formula>
    </cfRule>
  </conditionalFormatting>
  <conditionalFormatting sqref="O27">
    <cfRule type="expression" priority="1330" dxfId="0">
      <formula>=AND(O4&gt;=D27,O4&lt;=E27,D27&lt;&gt;"")</formula>
    </cfRule>
  </conditionalFormatting>
  <conditionalFormatting sqref="P27">
    <cfRule type="expression" priority="1331" dxfId="0">
      <formula>=AND(P4&gt;=D27,P4&lt;=E27,D27&lt;&gt;"")</formula>
    </cfRule>
  </conditionalFormatting>
  <conditionalFormatting sqref="Q27">
    <cfRule type="expression" priority="1332" dxfId="0">
      <formula>=AND(Q4&gt;=D27,Q4&lt;=E27,D27&lt;&gt;"")</formula>
    </cfRule>
  </conditionalFormatting>
  <conditionalFormatting sqref="R27">
    <cfRule type="expression" priority="1333" dxfId="0">
      <formula>=AND(R4&gt;=D27,R4&lt;=E27,D27&lt;&gt;"")</formula>
    </cfRule>
  </conditionalFormatting>
  <conditionalFormatting sqref="S27">
    <cfRule type="expression" priority="1334" dxfId="0">
      <formula>=AND(S4&gt;=D27,S4&lt;=E27,D27&lt;&gt;"")</formula>
    </cfRule>
  </conditionalFormatting>
  <conditionalFormatting sqref="T27">
    <cfRule type="expression" priority="1335" dxfId="0">
      <formula>=AND(T4&gt;=D27,T4&lt;=E27,D27&lt;&gt;"")</formula>
    </cfRule>
  </conditionalFormatting>
  <conditionalFormatting sqref="U27">
    <cfRule type="expression" priority="1336" dxfId="0">
      <formula>=AND(U4&gt;=D27,U4&lt;=E27,D27&lt;&gt;"")</formula>
    </cfRule>
  </conditionalFormatting>
  <conditionalFormatting sqref="V27">
    <cfRule type="expression" priority="1337" dxfId="0">
      <formula>=AND(V4&gt;=D27,V4&lt;=E27,D27&lt;&gt;"")</formula>
    </cfRule>
  </conditionalFormatting>
  <conditionalFormatting sqref="W27">
    <cfRule type="expression" priority="1338" dxfId="0">
      <formula>=AND(W4&gt;=D27,W4&lt;=E27,D27&lt;&gt;"")</formula>
    </cfRule>
  </conditionalFormatting>
  <conditionalFormatting sqref="X27">
    <cfRule type="expression" priority="1339" dxfId="0">
      <formula>=AND(X4&gt;=D27,X4&lt;=E27,D27&lt;&gt;"")</formula>
    </cfRule>
  </conditionalFormatting>
  <conditionalFormatting sqref="Y27">
    <cfRule type="expression" priority="1340" dxfId="0">
      <formula>=AND(Y4&gt;=D27,Y4&lt;=E27,D27&lt;&gt;"")</formula>
    </cfRule>
  </conditionalFormatting>
  <conditionalFormatting sqref="Z27">
    <cfRule type="expression" priority="1341" dxfId="0">
      <formula>=AND(Z4&gt;=D27,Z4&lt;=E27,D27&lt;&gt;"")</formula>
    </cfRule>
  </conditionalFormatting>
  <conditionalFormatting sqref="AA27">
    <cfRule type="expression" priority="1342" dxfId="0">
      <formula>=AND(AA4&gt;=D27,AA4&lt;=E27,D27&lt;&gt;"")</formula>
    </cfRule>
  </conditionalFormatting>
  <conditionalFormatting sqref="AB27">
    <cfRule type="expression" priority="1343" dxfId="0">
      <formula>=AND(AB4&gt;=D27,AB4&lt;=E27,D27&lt;&gt;"")</formula>
    </cfRule>
  </conditionalFormatting>
  <conditionalFormatting sqref="AC27">
    <cfRule type="expression" priority="1344" dxfId="0">
      <formula>=AND(AC4&gt;=D27,AC4&lt;=E27,D27&lt;&gt;"")</formula>
    </cfRule>
  </conditionalFormatting>
  <conditionalFormatting sqref="AD27">
    <cfRule type="expression" priority="1345" dxfId="0">
      <formula>=AND(AD4&gt;=D27,AD4&lt;=E27,D27&lt;&gt;"")</formula>
    </cfRule>
  </conditionalFormatting>
  <conditionalFormatting sqref="AE27">
    <cfRule type="expression" priority="1346" dxfId="0">
      <formula>=AND(AE4&gt;=D27,AE4&lt;=E27,D27&lt;&gt;"")</formula>
    </cfRule>
  </conditionalFormatting>
  <conditionalFormatting sqref="AF27">
    <cfRule type="expression" priority="1347" dxfId="0">
      <formula>=AND(AF4&gt;=D27,AF4&lt;=E27,D27&lt;&gt;"")</formula>
    </cfRule>
  </conditionalFormatting>
  <conditionalFormatting sqref="AG27">
    <cfRule type="expression" priority="1348" dxfId="0">
      <formula>=AND(AG4&gt;=D27,AG4&lt;=E27,D27&lt;&gt;"")</formula>
    </cfRule>
  </conditionalFormatting>
  <conditionalFormatting sqref="AH27">
    <cfRule type="expression" priority="1349" dxfId="0">
      <formula>=AND(AH4&gt;=D27,AH4&lt;=E27,D27&lt;&gt;"")</formula>
    </cfRule>
  </conditionalFormatting>
  <conditionalFormatting sqref="AI27">
    <cfRule type="expression" priority="1350" dxfId="0">
      <formula>=AND(AI4&gt;=D27,AI4&lt;=E27,D27&lt;&gt;"")</formula>
    </cfRule>
  </conditionalFormatting>
  <conditionalFormatting sqref="AJ27">
    <cfRule type="expression" priority="1351" dxfId="0">
      <formula>=AND(AJ4&gt;=D27,AJ4&lt;=E27,D27&lt;&gt;"")</formula>
    </cfRule>
  </conditionalFormatting>
  <conditionalFormatting sqref="AK27">
    <cfRule type="expression" priority="1352" dxfId="0">
      <formula>=AND(AK4&gt;=D27,AK4&lt;=E27,D27&lt;&gt;"")</formula>
    </cfRule>
  </conditionalFormatting>
  <conditionalFormatting sqref="AL27">
    <cfRule type="expression" priority="1353" dxfId="0">
      <formula>=AND(AL4&gt;=D27,AL4&lt;=E27,D27&lt;&gt;"")</formula>
    </cfRule>
  </conditionalFormatting>
  <conditionalFormatting sqref="AM27">
    <cfRule type="expression" priority="1354" dxfId="0">
      <formula>=AND(AM4&gt;=D27,AM4&lt;=E27,D27&lt;&gt;"")</formula>
    </cfRule>
  </conditionalFormatting>
  <conditionalFormatting sqref="AN27">
    <cfRule type="expression" priority="1355" dxfId="0">
      <formula>=AND(AN4&gt;=D27,AN4&lt;=E27,D27&lt;&gt;"")</formula>
    </cfRule>
  </conditionalFormatting>
  <conditionalFormatting sqref="AO27">
    <cfRule type="expression" priority="1356" dxfId="0">
      <formula>=AND(AO4&gt;=D27,AO4&lt;=E27,D27&lt;&gt;"")</formula>
    </cfRule>
  </conditionalFormatting>
  <conditionalFormatting sqref="AP27">
    <cfRule type="expression" priority="1357" dxfId="0">
      <formula>=AND(AP4&gt;=D27,AP4&lt;=E27,D27&lt;&gt;"")</formula>
    </cfRule>
  </conditionalFormatting>
  <conditionalFormatting sqref="AQ27">
    <cfRule type="expression" priority="1358" dxfId="0">
      <formula>=AND(AQ4&gt;=D27,AQ4&lt;=E27,D27&lt;&gt;"")</formula>
    </cfRule>
  </conditionalFormatting>
  <conditionalFormatting sqref="AR27">
    <cfRule type="expression" priority="1359" dxfId="0">
      <formula>=AND(AR4&gt;=D27,AR4&lt;=E27,D27&lt;&gt;"")</formula>
    </cfRule>
  </conditionalFormatting>
  <conditionalFormatting sqref="AS27">
    <cfRule type="expression" priority="1360" dxfId="0">
      <formula>=AND(AS4&gt;=D27,AS4&lt;=E27,D27&lt;&gt;"")</formula>
    </cfRule>
  </conditionalFormatting>
  <conditionalFormatting sqref="AT27">
    <cfRule type="expression" priority="1361" dxfId="0">
      <formula>=AND(AT4&gt;=D27,AT4&lt;=E27,D27&lt;&gt;"")</formula>
    </cfRule>
  </conditionalFormatting>
  <conditionalFormatting sqref="AU27">
    <cfRule type="expression" priority="1362" dxfId="0">
      <formula>=AND(AU4&gt;=D27,AU4&lt;=E27,D27&lt;&gt;"")</formula>
    </cfRule>
  </conditionalFormatting>
  <conditionalFormatting sqref="AV27">
    <cfRule type="expression" priority="1363" dxfId="0">
      <formula>=AND(AV4&gt;=D27,AV4&lt;=E27,D27&lt;&gt;"")</formula>
    </cfRule>
  </conditionalFormatting>
  <conditionalFormatting sqref="AW27">
    <cfRule type="expression" priority="1364" dxfId="0">
      <formula>=AND(AW4&gt;=D27,AW4&lt;=E27,D27&lt;&gt;"")</formula>
    </cfRule>
  </conditionalFormatting>
  <conditionalFormatting sqref="AX27">
    <cfRule type="expression" priority="1365" dxfId="0">
      <formula>=AND(AX4&gt;=D27,AX4&lt;=E27,D27&lt;&gt;"")</formula>
    </cfRule>
  </conditionalFormatting>
  <conditionalFormatting sqref="AY27">
    <cfRule type="expression" priority="1366" dxfId="0">
      <formula>=AND(AY4&gt;=D27,AY4&lt;=E27,D27&lt;&gt;"")</formula>
    </cfRule>
  </conditionalFormatting>
  <conditionalFormatting sqref="AZ27">
    <cfRule type="expression" priority="1367" dxfId="0">
      <formula>=AND(AZ4&gt;=D27,AZ4&lt;=E27,D27&lt;&gt;"")</formula>
    </cfRule>
  </conditionalFormatting>
  <conditionalFormatting sqref="BA27">
    <cfRule type="expression" priority="1368" dxfId="0">
      <formula>=AND(BA4&gt;=D27,BA4&lt;=E27,D27&lt;&gt;"")</formula>
    </cfRule>
  </conditionalFormatting>
  <conditionalFormatting sqref="BB27">
    <cfRule type="expression" priority="1369" dxfId="0">
      <formula>=AND(BB4&gt;=D27,BB4&lt;=E27,D27&lt;&gt;"")</formula>
    </cfRule>
  </conditionalFormatting>
  <conditionalFormatting sqref="BC27">
    <cfRule type="expression" priority="1370" dxfId="0">
      <formula>=AND(BC4&gt;=D27,BC4&lt;=E27,D27&lt;&gt;"")</formula>
    </cfRule>
  </conditionalFormatting>
  <conditionalFormatting sqref="BD27">
    <cfRule type="expression" priority="1371" dxfId="0">
      <formula>=AND(BD4&gt;=D27,BD4&lt;=E27,D27&lt;&gt;"")</formula>
    </cfRule>
  </conditionalFormatting>
  <conditionalFormatting sqref="BE27">
    <cfRule type="expression" priority="1372" dxfId="0">
      <formula>=AND(BE4&gt;=D27,BE4&lt;=E27,D27&lt;&gt;"")</formula>
    </cfRule>
  </conditionalFormatting>
  <conditionalFormatting sqref="BF27">
    <cfRule type="expression" priority="1373" dxfId="0">
      <formula>=AND(BF4&gt;=D27,BF4&lt;=E27,D27&lt;&gt;"")</formula>
    </cfRule>
  </conditionalFormatting>
  <conditionalFormatting sqref="BG27">
    <cfRule type="expression" priority="1374" dxfId="0">
      <formula>=AND(BG4&gt;=D27,BG4&lt;=E27,D27&lt;&gt;"")</formula>
    </cfRule>
  </conditionalFormatting>
  <conditionalFormatting sqref="BH27">
    <cfRule type="expression" priority="1375" dxfId="0">
      <formula>=AND(BH4&gt;=D27,BH4&lt;=E27,D27&lt;&gt;"")</formula>
    </cfRule>
  </conditionalFormatting>
  <conditionalFormatting sqref="BI27">
    <cfRule type="expression" priority="1376" dxfId="0">
      <formula>=AND(BI4&gt;=D27,BI4&lt;=E27,D27&lt;&gt;"")</formula>
    </cfRule>
  </conditionalFormatting>
  <conditionalFormatting sqref="BJ27">
    <cfRule type="expression" priority="1377" dxfId="0">
      <formula>=AND(BJ4&gt;=D27,BJ4&lt;=E27,D27&lt;&gt;"")</formula>
    </cfRule>
  </conditionalFormatting>
  <conditionalFormatting sqref="BK27">
    <cfRule type="expression" priority="1378" dxfId="0">
      <formula>=AND(BK4&gt;=D27,BK4&lt;=E27,D27&lt;&gt;"")</formula>
    </cfRule>
  </conditionalFormatting>
  <conditionalFormatting sqref="BL27">
    <cfRule type="expression" priority="1379" dxfId="0">
      <formula>=AND(BL4&gt;=D27,BL4&lt;=E27,D27&lt;&gt;"")</formula>
    </cfRule>
  </conditionalFormatting>
  <conditionalFormatting sqref="BM27">
    <cfRule type="expression" priority="1380" dxfId="0">
      <formula>=AND(BM4&gt;=D27,BM4&lt;=E27,D27&lt;&gt;"")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10" customWidth="1" min="9" max="9"/>
    <col width="10" customWidth="1" min="10" max="10"/>
    <col width="10" customWidth="1" min="11" max="11"/>
    <col width="22" customWidth="1" min="12" max="12"/>
  </cols>
  <sheetData>
    <row r="1">
      <c r="A1" s="2" t="inlineStr">
        <is>
          <t>案件ID</t>
        </is>
      </c>
      <c r="B1" s="2" t="inlineStr">
        <is>
          <t>会社名</t>
        </is>
      </c>
      <c r="C1" s="2" t="inlineStr">
        <is>
          <t>プラン</t>
        </is>
      </c>
      <c r="D1" s="2" t="inlineStr">
        <is>
          <t>ステータス</t>
        </is>
      </c>
      <c r="E1" s="2" t="inlineStr">
        <is>
          <t>開始日</t>
        </is>
      </c>
      <c r="F1" s="2" t="inlineStr">
        <is>
          <t>終了予定</t>
        </is>
      </c>
      <c r="G1" s="2" t="inlineStr">
        <is>
          <t>次回MTG</t>
        </is>
      </c>
      <c r="H1" s="2" t="inlineStr">
        <is>
          <t>月次売上（円）</t>
        </is>
      </c>
      <c r="I1" s="2" t="inlineStr">
        <is>
          <t>Sat h/週</t>
        </is>
      </c>
      <c r="J1" s="2" t="inlineStr">
        <is>
          <t>Uni h/週</t>
        </is>
      </c>
      <c r="K1" s="2" t="inlineStr">
        <is>
          <t>Tim h/週</t>
        </is>
      </c>
      <c r="L1" s="2" t="inlineStr">
        <is>
          <t>メモ</t>
        </is>
      </c>
    </row>
    <row r="2">
      <c r="A2" s="11" t="inlineStr"/>
      <c r="B2" s="3" t="inlineStr"/>
      <c r="C2" s="3" t="inlineStr"/>
      <c r="D2" s="3" t="inlineStr"/>
      <c r="E2" s="11" t="inlineStr"/>
      <c r="F2" s="11" t="inlineStr"/>
      <c r="G2" s="11" t="inlineStr"/>
      <c r="H2" s="7">
        <f>IF(C2="","",XLOOKUP(C2,'02_プラン定義'!$A$2:$A$50,'02_プラン定義'!$L$2:$L$50))</f>
        <v/>
      </c>
      <c r="I2" s="7">
        <f>IF(C2="","",XLOOKUP(C2,'02_プラン定義'!$A$2:$A$50,'02_プラン定義'!$H$2:$H$50))</f>
        <v/>
      </c>
      <c r="J2" s="7">
        <f>IF(C2="","",XLOOKUP(C2,'02_プラン定義'!$A$2:$A$50,'02_プラン定義'!$I$2:$I$50))</f>
        <v/>
      </c>
      <c r="K2" s="7">
        <f>IF(C2="","",XLOOKUP(C2,'02_プラン定義'!$A$2:$A$50,'02_プラン定義'!$J$2:$J$50))</f>
        <v/>
      </c>
      <c r="L2" s="3" t="inlineStr"/>
    </row>
    <row r="3">
      <c r="A3" s="11" t="inlineStr"/>
      <c r="B3" s="3" t="inlineStr"/>
      <c r="C3" s="3" t="inlineStr"/>
      <c r="D3" s="3" t="inlineStr"/>
      <c r="E3" s="11" t="inlineStr"/>
      <c r="F3" s="11" t="inlineStr"/>
      <c r="G3" s="11" t="inlineStr"/>
      <c r="H3" s="7">
        <f>IF(C3="","",XLOOKUP(C3,'02_プラン定義'!$A$2:$A$50,'02_プラン定義'!$L$2:$L$50))</f>
        <v/>
      </c>
      <c r="I3" s="7">
        <f>IF(C3="","",XLOOKUP(C3,'02_プラン定義'!$A$2:$A$50,'02_プラン定義'!$H$2:$H$50))</f>
        <v/>
      </c>
      <c r="J3" s="7">
        <f>IF(C3="","",XLOOKUP(C3,'02_プラン定義'!$A$2:$A$50,'02_プラン定義'!$I$2:$I$50))</f>
        <v/>
      </c>
      <c r="K3" s="7">
        <f>IF(C3="","",XLOOKUP(C3,'02_プラン定義'!$A$2:$A$50,'02_プラン定義'!$J$2:$J$50))</f>
        <v/>
      </c>
      <c r="L3" s="3" t="inlineStr"/>
    </row>
    <row r="4">
      <c r="A4" s="11" t="inlineStr"/>
      <c r="B4" s="3" t="inlineStr"/>
      <c r="C4" s="3" t="inlineStr"/>
      <c r="D4" s="3" t="inlineStr"/>
      <c r="E4" s="11" t="inlineStr"/>
      <c r="F4" s="11" t="inlineStr"/>
      <c r="G4" s="11" t="inlineStr"/>
      <c r="H4" s="7">
        <f>IF(C4="","",XLOOKUP(C4,'02_プラン定義'!$A$2:$A$50,'02_プラン定義'!$L$2:$L$50))</f>
        <v/>
      </c>
      <c r="I4" s="7">
        <f>IF(C4="","",XLOOKUP(C4,'02_プラン定義'!$A$2:$A$50,'02_プラン定義'!$H$2:$H$50))</f>
        <v/>
      </c>
      <c r="J4" s="7">
        <f>IF(C4="","",XLOOKUP(C4,'02_プラン定義'!$A$2:$A$50,'02_プラン定義'!$I$2:$I$50))</f>
        <v/>
      </c>
      <c r="K4" s="7">
        <f>IF(C4="","",XLOOKUP(C4,'02_プラン定義'!$A$2:$A$50,'02_プラン定義'!$J$2:$J$50))</f>
        <v/>
      </c>
      <c r="L4" s="3" t="inlineStr"/>
    </row>
    <row r="5">
      <c r="A5" s="11" t="inlineStr"/>
      <c r="B5" s="3" t="inlineStr"/>
      <c r="C5" s="3" t="inlineStr"/>
      <c r="D5" s="3" t="inlineStr"/>
      <c r="E5" s="11" t="inlineStr"/>
      <c r="F5" s="11" t="inlineStr"/>
      <c r="G5" s="11" t="inlineStr"/>
      <c r="H5" s="7">
        <f>IF(C5="","",XLOOKUP(C5,'02_プラン定義'!$A$2:$A$50,'02_プラン定義'!$L$2:$L$50))</f>
        <v/>
      </c>
      <c r="I5" s="7">
        <f>IF(C5="","",XLOOKUP(C5,'02_プラン定義'!$A$2:$A$50,'02_プラン定義'!$H$2:$H$50))</f>
        <v/>
      </c>
      <c r="J5" s="7">
        <f>IF(C5="","",XLOOKUP(C5,'02_プラン定義'!$A$2:$A$50,'02_プラン定義'!$I$2:$I$50))</f>
        <v/>
      </c>
      <c r="K5" s="7">
        <f>IF(C5="","",XLOOKUP(C5,'02_プラン定義'!$A$2:$A$50,'02_プラン定義'!$J$2:$J$50))</f>
        <v/>
      </c>
      <c r="L5" s="3" t="inlineStr"/>
    </row>
    <row r="6">
      <c r="A6" s="11" t="inlineStr"/>
      <c r="B6" s="3" t="inlineStr"/>
      <c r="C6" s="3" t="inlineStr"/>
      <c r="D6" s="3" t="inlineStr"/>
      <c r="E6" s="11" t="inlineStr"/>
      <c r="F6" s="11" t="inlineStr"/>
      <c r="G6" s="11" t="inlineStr"/>
      <c r="H6" s="7">
        <f>IF(C6="","",XLOOKUP(C6,'02_プラン定義'!$A$2:$A$50,'02_プラン定義'!$L$2:$L$50))</f>
        <v/>
      </c>
      <c r="I6" s="7">
        <f>IF(C6="","",XLOOKUP(C6,'02_プラン定義'!$A$2:$A$50,'02_プラン定義'!$H$2:$H$50))</f>
        <v/>
      </c>
      <c r="J6" s="7">
        <f>IF(C6="","",XLOOKUP(C6,'02_プラン定義'!$A$2:$A$50,'02_プラン定義'!$I$2:$I$50))</f>
        <v/>
      </c>
      <c r="K6" s="7">
        <f>IF(C6="","",XLOOKUP(C6,'02_プラン定義'!$A$2:$A$50,'02_プラン定義'!$J$2:$J$50))</f>
        <v/>
      </c>
      <c r="L6" s="3" t="inlineStr"/>
    </row>
    <row r="7">
      <c r="A7" s="11" t="inlineStr"/>
      <c r="B7" s="3" t="inlineStr"/>
      <c r="C7" s="3" t="inlineStr"/>
      <c r="D7" s="3" t="inlineStr"/>
      <c r="E7" s="11" t="inlineStr"/>
      <c r="F7" s="11" t="inlineStr"/>
      <c r="G7" s="11" t="inlineStr"/>
      <c r="H7" s="7">
        <f>IF(C7="","",XLOOKUP(C7,'02_プラン定義'!$A$2:$A$50,'02_プラン定義'!$L$2:$L$50))</f>
        <v/>
      </c>
      <c r="I7" s="7">
        <f>IF(C7="","",XLOOKUP(C7,'02_プラン定義'!$A$2:$A$50,'02_プラン定義'!$H$2:$H$50))</f>
        <v/>
      </c>
      <c r="J7" s="7">
        <f>IF(C7="","",XLOOKUP(C7,'02_プラン定義'!$A$2:$A$50,'02_プラン定義'!$I$2:$I$50))</f>
        <v/>
      </c>
      <c r="K7" s="7">
        <f>IF(C7="","",XLOOKUP(C7,'02_プラン定義'!$A$2:$A$50,'02_プラン定義'!$J$2:$J$50))</f>
        <v/>
      </c>
      <c r="L7" s="3" t="inlineStr"/>
    </row>
    <row r="8">
      <c r="A8" s="11" t="inlineStr"/>
      <c r="B8" s="3" t="inlineStr"/>
      <c r="C8" s="3" t="inlineStr"/>
      <c r="D8" s="3" t="inlineStr"/>
      <c r="E8" s="11" t="inlineStr"/>
      <c r="F8" s="11" t="inlineStr"/>
      <c r="G8" s="11" t="inlineStr"/>
      <c r="H8" s="7">
        <f>IF(C8="","",XLOOKUP(C8,'02_プラン定義'!$A$2:$A$50,'02_プラン定義'!$L$2:$L$50))</f>
        <v/>
      </c>
      <c r="I8" s="7">
        <f>IF(C8="","",XLOOKUP(C8,'02_プラン定義'!$A$2:$A$50,'02_プラン定義'!$H$2:$H$50))</f>
        <v/>
      </c>
      <c r="J8" s="7">
        <f>IF(C8="","",XLOOKUP(C8,'02_プラン定義'!$A$2:$A$50,'02_プラン定義'!$I$2:$I$50))</f>
        <v/>
      </c>
      <c r="K8" s="7">
        <f>IF(C8="","",XLOOKUP(C8,'02_プラン定義'!$A$2:$A$50,'02_プラン定義'!$J$2:$J$50))</f>
        <v/>
      </c>
      <c r="L8" s="3" t="inlineStr"/>
    </row>
    <row r="9">
      <c r="A9" s="11" t="inlineStr"/>
      <c r="B9" s="3" t="inlineStr"/>
      <c r="C9" s="3" t="inlineStr"/>
      <c r="D9" s="3" t="inlineStr"/>
      <c r="E9" s="11" t="inlineStr"/>
      <c r="F9" s="11" t="inlineStr"/>
      <c r="G9" s="11" t="inlineStr"/>
      <c r="H9" s="7">
        <f>IF(C9="","",XLOOKUP(C9,'02_プラン定義'!$A$2:$A$50,'02_プラン定義'!$L$2:$L$50))</f>
        <v/>
      </c>
      <c r="I9" s="7">
        <f>IF(C9="","",XLOOKUP(C9,'02_プラン定義'!$A$2:$A$50,'02_プラン定義'!$H$2:$H$50))</f>
        <v/>
      </c>
      <c r="J9" s="7">
        <f>IF(C9="","",XLOOKUP(C9,'02_プラン定義'!$A$2:$A$50,'02_プラン定義'!$I$2:$I$50))</f>
        <v/>
      </c>
      <c r="K9" s="7">
        <f>IF(C9="","",XLOOKUP(C9,'02_プラン定義'!$A$2:$A$50,'02_プラン定義'!$J$2:$J$50))</f>
        <v/>
      </c>
      <c r="L9" s="3" t="inlineStr"/>
    </row>
    <row r="10">
      <c r="A10" s="11" t="inlineStr"/>
      <c r="B10" s="3" t="inlineStr"/>
      <c r="C10" s="3" t="inlineStr"/>
      <c r="D10" s="3" t="inlineStr"/>
      <c r="E10" s="11" t="inlineStr"/>
      <c r="F10" s="11" t="inlineStr"/>
      <c r="G10" s="11" t="inlineStr"/>
      <c r="H10" s="7">
        <f>IF(C10="","",XLOOKUP(C10,'02_プラン定義'!$A$2:$A$50,'02_プラン定義'!$L$2:$L$50))</f>
        <v/>
      </c>
      <c r="I10" s="7">
        <f>IF(C10="","",XLOOKUP(C10,'02_プラン定義'!$A$2:$A$50,'02_プラン定義'!$H$2:$H$50))</f>
        <v/>
      </c>
      <c r="J10" s="7">
        <f>IF(C10="","",XLOOKUP(C10,'02_プラン定義'!$A$2:$A$50,'02_プラン定義'!$I$2:$I$50))</f>
        <v/>
      </c>
      <c r="K10" s="7">
        <f>IF(C10="","",XLOOKUP(C10,'02_プラン定義'!$A$2:$A$50,'02_プラン定義'!$J$2:$J$50))</f>
        <v/>
      </c>
      <c r="L10" s="3" t="inlineStr"/>
    </row>
    <row r="11">
      <c r="A11" s="11" t="inlineStr"/>
      <c r="B11" s="3" t="inlineStr"/>
      <c r="C11" s="3" t="inlineStr"/>
      <c r="D11" s="3" t="inlineStr"/>
      <c r="E11" s="11" t="inlineStr"/>
      <c r="F11" s="11" t="inlineStr"/>
      <c r="G11" s="11" t="inlineStr"/>
      <c r="H11" s="7">
        <f>IF(C11="","",XLOOKUP(C11,'02_プラン定義'!$A$2:$A$50,'02_プラン定義'!$L$2:$L$50))</f>
        <v/>
      </c>
      <c r="I11" s="7">
        <f>IF(C11="","",XLOOKUP(C11,'02_プラン定義'!$A$2:$A$50,'02_プラン定義'!$H$2:$H$50))</f>
        <v/>
      </c>
      <c r="J11" s="7">
        <f>IF(C11="","",XLOOKUP(C11,'02_プラン定義'!$A$2:$A$50,'02_プラン定義'!$I$2:$I$50))</f>
        <v/>
      </c>
      <c r="K11" s="7">
        <f>IF(C11="","",XLOOKUP(C11,'02_プラン定義'!$A$2:$A$50,'02_プラン定義'!$J$2:$J$50))</f>
        <v/>
      </c>
      <c r="L11" s="3" t="inlineStr"/>
    </row>
    <row r="12">
      <c r="A12" s="11" t="inlineStr"/>
      <c r="B12" s="3" t="inlineStr"/>
      <c r="C12" s="3" t="inlineStr"/>
      <c r="D12" s="3" t="inlineStr"/>
      <c r="E12" s="11" t="inlineStr"/>
      <c r="F12" s="11" t="inlineStr"/>
      <c r="G12" s="11" t="inlineStr"/>
      <c r="H12" s="7">
        <f>IF(C12="","",XLOOKUP(C12,'02_プラン定義'!$A$2:$A$50,'02_プラン定義'!$L$2:$L$50))</f>
        <v/>
      </c>
      <c r="I12" s="7">
        <f>IF(C12="","",XLOOKUP(C12,'02_プラン定義'!$A$2:$A$50,'02_プラン定義'!$H$2:$H$50))</f>
        <v/>
      </c>
      <c r="J12" s="7">
        <f>IF(C12="","",XLOOKUP(C12,'02_プラン定義'!$A$2:$A$50,'02_プラン定義'!$I$2:$I$50))</f>
        <v/>
      </c>
      <c r="K12" s="7">
        <f>IF(C12="","",XLOOKUP(C12,'02_プラン定義'!$A$2:$A$50,'02_プラン定義'!$J$2:$J$50))</f>
        <v/>
      </c>
      <c r="L12" s="3" t="inlineStr"/>
    </row>
    <row r="13">
      <c r="A13" s="11" t="inlineStr"/>
      <c r="B13" s="3" t="inlineStr"/>
      <c r="C13" s="3" t="inlineStr"/>
      <c r="D13" s="3" t="inlineStr"/>
      <c r="E13" s="11" t="inlineStr"/>
      <c r="F13" s="11" t="inlineStr"/>
      <c r="G13" s="11" t="inlineStr"/>
      <c r="H13" s="7">
        <f>IF(C13="","",XLOOKUP(C13,'02_プラン定義'!$A$2:$A$50,'02_プラン定義'!$L$2:$L$50))</f>
        <v/>
      </c>
      <c r="I13" s="7">
        <f>IF(C13="","",XLOOKUP(C13,'02_プラン定義'!$A$2:$A$50,'02_プラン定義'!$H$2:$H$50))</f>
        <v/>
      </c>
      <c r="J13" s="7">
        <f>IF(C13="","",XLOOKUP(C13,'02_プラン定義'!$A$2:$A$50,'02_プラン定義'!$I$2:$I$50))</f>
        <v/>
      </c>
      <c r="K13" s="7">
        <f>IF(C13="","",XLOOKUP(C13,'02_プラン定義'!$A$2:$A$50,'02_プラン定義'!$J$2:$J$50))</f>
        <v/>
      </c>
      <c r="L13" s="3" t="inlineStr"/>
    </row>
    <row r="14">
      <c r="A14" s="11" t="inlineStr"/>
      <c r="B14" s="3" t="inlineStr"/>
      <c r="C14" s="3" t="inlineStr"/>
      <c r="D14" s="3" t="inlineStr"/>
      <c r="E14" s="11" t="inlineStr"/>
      <c r="F14" s="11" t="inlineStr"/>
      <c r="G14" s="11" t="inlineStr"/>
      <c r="H14" s="7">
        <f>IF(C14="","",XLOOKUP(C14,'02_プラン定義'!$A$2:$A$50,'02_プラン定義'!$L$2:$L$50))</f>
        <v/>
      </c>
      <c r="I14" s="7">
        <f>IF(C14="","",XLOOKUP(C14,'02_プラン定義'!$A$2:$A$50,'02_プラン定義'!$H$2:$H$50))</f>
        <v/>
      </c>
      <c r="J14" s="7">
        <f>IF(C14="","",XLOOKUP(C14,'02_プラン定義'!$A$2:$A$50,'02_プラン定義'!$I$2:$I$50))</f>
        <v/>
      </c>
      <c r="K14" s="7">
        <f>IF(C14="","",XLOOKUP(C14,'02_プラン定義'!$A$2:$A$50,'02_プラン定義'!$J$2:$J$50))</f>
        <v/>
      </c>
      <c r="L14" s="3" t="inlineStr"/>
    </row>
    <row r="15">
      <c r="A15" s="11" t="inlineStr"/>
      <c r="B15" s="3" t="inlineStr"/>
      <c r="C15" s="3" t="inlineStr"/>
      <c r="D15" s="3" t="inlineStr"/>
      <c r="E15" s="11" t="inlineStr"/>
      <c r="F15" s="11" t="inlineStr"/>
      <c r="G15" s="11" t="inlineStr"/>
      <c r="H15" s="7">
        <f>IF(C15="","",XLOOKUP(C15,'02_プラン定義'!$A$2:$A$50,'02_プラン定義'!$L$2:$L$50))</f>
        <v/>
      </c>
      <c r="I15" s="7">
        <f>IF(C15="","",XLOOKUP(C15,'02_プラン定義'!$A$2:$A$50,'02_プラン定義'!$H$2:$H$50))</f>
        <v/>
      </c>
      <c r="J15" s="7">
        <f>IF(C15="","",XLOOKUP(C15,'02_プラン定義'!$A$2:$A$50,'02_プラン定義'!$I$2:$I$50))</f>
        <v/>
      </c>
      <c r="K15" s="7">
        <f>IF(C15="","",XLOOKUP(C15,'02_プラン定義'!$A$2:$A$50,'02_プラン定義'!$J$2:$J$50))</f>
        <v/>
      </c>
      <c r="L15" s="3" t="inlineStr"/>
    </row>
    <row r="16">
      <c r="A16" s="11" t="inlineStr"/>
      <c r="B16" s="3" t="inlineStr"/>
      <c r="C16" s="3" t="inlineStr"/>
      <c r="D16" s="3" t="inlineStr"/>
      <c r="E16" s="11" t="inlineStr"/>
      <c r="F16" s="11" t="inlineStr"/>
      <c r="G16" s="11" t="inlineStr"/>
      <c r="H16" s="7">
        <f>IF(C16="","",XLOOKUP(C16,'02_プラン定義'!$A$2:$A$50,'02_プラン定義'!$L$2:$L$50))</f>
        <v/>
      </c>
      <c r="I16" s="7">
        <f>IF(C16="","",XLOOKUP(C16,'02_プラン定義'!$A$2:$A$50,'02_プラン定義'!$H$2:$H$50))</f>
        <v/>
      </c>
      <c r="J16" s="7">
        <f>IF(C16="","",XLOOKUP(C16,'02_プラン定義'!$A$2:$A$50,'02_プラン定義'!$I$2:$I$50))</f>
        <v/>
      </c>
      <c r="K16" s="7">
        <f>IF(C16="","",XLOOKUP(C16,'02_プラン定義'!$A$2:$A$50,'02_プラン定義'!$J$2:$J$50))</f>
        <v/>
      </c>
      <c r="L16" s="3" t="inlineStr"/>
    </row>
    <row r="17">
      <c r="A17" s="11" t="inlineStr"/>
      <c r="B17" s="3" t="inlineStr"/>
      <c r="C17" s="3" t="inlineStr"/>
      <c r="D17" s="3" t="inlineStr"/>
      <c r="E17" s="11" t="inlineStr"/>
      <c r="F17" s="11" t="inlineStr"/>
      <c r="G17" s="11" t="inlineStr"/>
      <c r="H17" s="7">
        <f>IF(C17="","",XLOOKUP(C17,'02_プラン定義'!$A$2:$A$50,'02_プラン定義'!$L$2:$L$50))</f>
        <v/>
      </c>
      <c r="I17" s="7">
        <f>IF(C17="","",XLOOKUP(C17,'02_プラン定義'!$A$2:$A$50,'02_プラン定義'!$H$2:$H$50))</f>
        <v/>
      </c>
      <c r="J17" s="7">
        <f>IF(C17="","",XLOOKUP(C17,'02_プラン定義'!$A$2:$A$50,'02_プラン定義'!$I$2:$I$50))</f>
        <v/>
      </c>
      <c r="K17" s="7">
        <f>IF(C17="","",XLOOKUP(C17,'02_プラン定義'!$A$2:$A$50,'02_プラン定義'!$J$2:$J$50))</f>
        <v/>
      </c>
      <c r="L17" s="3" t="inlineStr"/>
    </row>
    <row r="18">
      <c r="A18" s="11" t="inlineStr"/>
      <c r="B18" s="3" t="inlineStr"/>
      <c r="C18" s="3" t="inlineStr"/>
      <c r="D18" s="3" t="inlineStr"/>
      <c r="E18" s="11" t="inlineStr"/>
      <c r="F18" s="11" t="inlineStr"/>
      <c r="G18" s="11" t="inlineStr"/>
      <c r="H18" s="7">
        <f>IF(C18="","",XLOOKUP(C18,'02_プラン定義'!$A$2:$A$50,'02_プラン定義'!$L$2:$L$50))</f>
        <v/>
      </c>
      <c r="I18" s="7">
        <f>IF(C18="","",XLOOKUP(C18,'02_プラン定義'!$A$2:$A$50,'02_プラン定義'!$H$2:$H$50))</f>
        <v/>
      </c>
      <c r="J18" s="7">
        <f>IF(C18="","",XLOOKUP(C18,'02_プラン定義'!$A$2:$A$50,'02_プラン定義'!$I$2:$I$50))</f>
        <v/>
      </c>
      <c r="K18" s="7">
        <f>IF(C18="","",XLOOKUP(C18,'02_プラン定義'!$A$2:$A$50,'02_プラン定義'!$J$2:$J$50))</f>
        <v/>
      </c>
      <c r="L18" s="3" t="inlineStr"/>
    </row>
    <row r="19">
      <c r="A19" s="11" t="inlineStr"/>
      <c r="B19" s="3" t="inlineStr"/>
      <c r="C19" s="3" t="inlineStr"/>
      <c r="D19" s="3" t="inlineStr"/>
      <c r="E19" s="11" t="inlineStr"/>
      <c r="F19" s="11" t="inlineStr"/>
      <c r="G19" s="11" t="inlineStr"/>
      <c r="H19" s="7">
        <f>IF(C19="","",XLOOKUP(C19,'02_プラン定義'!$A$2:$A$50,'02_プラン定義'!$L$2:$L$50))</f>
        <v/>
      </c>
      <c r="I19" s="7">
        <f>IF(C19="","",XLOOKUP(C19,'02_プラン定義'!$A$2:$A$50,'02_プラン定義'!$H$2:$H$50))</f>
        <v/>
      </c>
      <c r="J19" s="7">
        <f>IF(C19="","",XLOOKUP(C19,'02_プラン定義'!$A$2:$A$50,'02_プラン定義'!$I$2:$I$50))</f>
        <v/>
      </c>
      <c r="K19" s="7">
        <f>IF(C19="","",XLOOKUP(C19,'02_プラン定義'!$A$2:$A$50,'02_プラン定義'!$J$2:$J$50))</f>
        <v/>
      </c>
      <c r="L19" s="3" t="inlineStr"/>
    </row>
    <row r="20">
      <c r="A20" s="11" t="inlineStr"/>
      <c r="B20" s="3" t="inlineStr"/>
      <c r="C20" s="3" t="inlineStr"/>
      <c r="D20" s="3" t="inlineStr"/>
      <c r="E20" s="11" t="inlineStr"/>
      <c r="F20" s="11" t="inlineStr"/>
      <c r="G20" s="11" t="inlineStr"/>
      <c r="H20" s="7">
        <f>IF(C20="","",XLOOKUP(C20,'02_プラン定義'!$A$2:$A$50,'02_プラン定義'!$L$2:$L$50))</f>
        <v/>
      </c>
      <c r="I20" s="7">
        <f>IF(C20="","",XLOOKUP(C20,'02_プラン定義'!$A$2:$A$50,'02_プラン定義'!$H$2:$H$50))</f>
        <v/>
      </c>
      <c r="J20" s="7">
        <f>IF(C20="","",XLOOKUP(C20,'02_プラン定義'!$A$2:$A$50,'02_プラン定義'!$I$2:$I$50))</f>
        <v/>
      </c>
      <c r="K20" s="7">
        <f>IF(C20="","",XLOOKUP(C20,'02_プラン定義'!$A$2:$A$50,'02_プラン定義'!$J$2:$J$50))</f>
        <v/>
      </c>
      <c r="L20" s="3" t="inlineStr"/>
    </row>
    <row r="21">
      <c r="A21" s="11" t="inlineStr"/>
      <c r="B21" s="3" t="inlineStr"/>
      <c r="C21" s="3" t="inlineStr"/>
      <c r="D21" s="3" t="inlineStr"/>
      <c r="E21" s="11" t="inlineStr"/>
      <c r="F21" s="11" t="inlineStr"/>
      <c r="G21" s="11" t="inlineStr"/>
      <c r="H21" s="7">
        <f>IF(C21="","",XLOOKUP(C21,'02_プラン定義'!$A$2:$A$50,'02_プラン定義'!$L$2:$L$50))</f>
        <v/>
      </c>
      <c r="I21" s="7">
        <f>IF(C21="","",XLOOKUP(C21,'02_プラン定義'!$A$2:$A$50,'02_プラン定義'!$H$2:$H$50))</f>
        <v/>
      </c>
      <c r="J21" s="7">
        <f>IF(C21="","",XLOOKUP(C21,'02_プラン定義'!$A$2:$A$50,'02_プラン定義'!$I$2:$I$50))</f>
        <v/>
      </c>
      <c r="K21" s="7">
        <f>IF(C21="","",XLOOKUP(C21,'02_プラン定義'!$A$2:$A$50,'02_プラン定義'!$J$2:$J$50))</f>
        <v/>
      </c>
      <c r="L21" s="3" t="inlineStr"/>
    </row>
  </sheetData>
  <dataValidations count="1">
    <dataValidation sqref="C2 C3 C4 C5 C6 C7 C8 C9 C10 C11 C12 C13 C14 C15 C16 C17 C18 C19 C20 C21" showDropDown="0" showInputMessage="0" showErrorMessage="0" allowBlank="1" type="list">
      <formula1>"AIチーム開発 伴走（標準）,AIチーム開発 伴走（ライトニング）,生成AI研修（入口）"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0" customWidth="1" min="4" max="4"/>
  </cols>
  <sheetData>
    <row r="1">
      <c r="A1" s="13" t="inlineStr">
        <is>
          <t>ロール別 稼働（週次）</t>
        </is>
      </c>
    </row>
    <row r="2">
      <c r="A2" s="1" t="inlineStr">
        <is>
          <t>入力（変更してOK）</t>
        </is>
      </c>
    </row>
    <row r="4">
      <c r="A4" s="2" t="inlineStr">
        <is>
          <t>ロール</t>
        </is>
      </c>
      <c r="B4" s="2" t="inlineStr">
        <is>
          <t>稼働上限 h/週</t>
        </is>
      </c>
      <c r="C4" s="2" t="inlineStr">
        <is>
          <t>割当 h/週（案件合計）</t>
        </is>
      </c>
      <c r="D4" s="2" t="inlineStr">
        <is>
          <t>稼働率</t>
        </is>
      </c>
    </row>
    <row r="5">
      <c r="A5" s="3" t="inlineStr">
        <is>
          <t>Sat</t>
        </is>
      </c>
      <c r="B5" s="6" t="n">
        <v>20</v>
      </c>
      <c r="C5" s="7">
        <f>SUM('06_案件トラッカー'!I2:I21)</f>
        <v/>
      </c>
      <c r="D5" s="16">
        <f>IF(B5=0,0,C5/B5)</f>
        <v/>
      </c>
    </row>
    <row r="6">
      <c r="A6" s="3" t="inlineStr">
        <is>
          <t>Uni</t>
        </is>
      </c>
      <c r="B6" s="6" t="n">
        <v>20</v>
      </c>
      <c r="C6" s="7">
        <f>SUM('06_案件トラッカー'!J2:J21)</f>
        <v/>
      </c>
      <c r="D6" s="16">
        <f>IF(B6=0,0,C6/B6)</f>
        <v/>
      </c>
    </row>
    <row r="7">
      <c r="A7" s="3" t="inlineStr">
        <is>
          <t>Tim</t>
        </is>
      </c>
      <c r="B7" s="6" t="n">
        <v>20</v>
      </c>
      <c r="C7" s="7">
        <f>SUM('06_案件トラッカー'!K2:K21)</f>
        <v/>
      </c>
      <c r="D7" s="16">
        <f>IF(B7=0,0,C7/B7)</f>
        <v/>
      </c>
    </row>
  </sheetData>
  <conditionalFormatting sqref="D5:D7">
    <cfRule type="expression" priority="1" dxfId="1">
      <formula>=D5&gt;1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2" t="inlineStr">
        <is>
          <t>成果物/領域</t>
        </is>
      </c>
      <c r="B1" s="2" t="inlineStr">
        <is>
          <t>Sat(PM/BD)</t>
        </is>
      </c>
      <c r="C1" s="2" t="inlineStr">
        <is>
          <t>Uni(講師)</t>
        </is>
      </c>
      <c r="D1" s="2" t="inlineStr">
        <is>
          <t>Tim(講師)</t>
        </is>
      </c>
      <c r="E1" s="2" t="inlineStr">
        <is>
          <t>外部デザイン</t>
        </is>
      </c>
      <c r="F1" s="2" t="inlineStr">
        <is>
          <t>外部開発</t>
        </is>
      </c>
      <c r="G1" s="2" t="inlineStr">
        <is>
          <t>クライアント承認者</t>
        </is>
      </c>
    </row>
    <row r="2">
      <c r="A2" s="3" t="inlineStr">
        <is>
          <t>キックオフ/計画</t>
        </is>
      </c>
      <c r="B2" s="11" t="inlineStr">
        <is>
          <t>A/R</t>
        </is>
      </c>
      <c r="C2" s="11" t="inlineStr">
        <is>
          <t>C</t>
        </is>
      </c>
      <c r="D2" s="11" t="inlineStr">
        <is>
          <t>C</t>
        </is>
      </c>
      <c r="E2" s="11" t="inlineStr">
        <is>
          <t>I</t>
        </is>
      </c>
      <c r="F2" s="11" t="inlineStr">
        <is>
          <t>I</t>
        </is>
      </c>
      <c r="G2" s="11" t="inlineStr">
        <is>
          <t>C</t>
        </is>
      </c>
    </row>
    <row r="3">
      <c r="A3" s="3" t="inlineStr">
        <is>
          <t>プラン定義/価格/成果物</t>
        </is>
      </c>
      <c r="B3" s="11" t="inlineStr">
        <is>
          <t>A/R</t>
        </is>
      </c>
      <c r="C3" s="11" t="inlineStr">
        <is>
          <t>C</t>
        </is>
      </c>
      <c r="D3" s="11" t="inlineStr">
        <is>
          <t>C</t>
        </is>
      </c>
      <c r="E3" s="11" t="inlineStr">
        <is>
          <t>I</t>
        </is>
      </c>
      <c r="F3" s="11" t="inlineStr">
        <is>
          <t>I</t>
        </is>
      </c>
      <c r="G3" s="11" t="inlineStr">
        <is>
          <t>C</t>
        </is>
      </c>
    </row>
    <row r="4">
      <c r="A4" s="3" t="inlineStr">
        <is>
          <t>提案書/ヒアリング</t>
        </is>
      </c>
      <c r="B4" s="11" t="inlineStr">
        <is>
          <t>A/R</t>
        </is>
      </c>
      <c r="C4" s="11" t="inlineStr">
        <is>
          <t>C</t>
        </is>
      </c>
      <c r="D4" s="11" t="inlineStr">
        <is>
          <t>C</t>
        </is>
      </c>
      <c r="E4" s="11" t="inlineStr">
        <is>
          <t>I</t>
        </is>
      </c>
      <c r="F4" s="11" t="inlineStr">
        <is>
          <t>I</t>
        </is>
      </c>
      <c r="G4" s="11" t="inlineStr">
        <is>
          <t>C</t>
        </is>
      </c>
    </row>
    <row r="5">
      <c r="A5" s="3" t="inlineStr">
        <is>
          <t>LPコピー/営業資料</t>
        </is>
      </c>
      <c r="B5" s="11" t="inlineStr">
        <is>
          <t>A/R</t>
        </is>
      </c>
      <c r="C5" s="11" t="inlineStr">
        <is>
          <t>I</t>
        </is>
      </c>
      <c r="D5" s="11" t="inlineStr">
        <is>
          <t>I</t>
        </is>
      </c>
      <c r="E5" s="11" t="inlineStr">
        <is>
          <t>C</t>
        </is>
      </c>
      <c r="F5" s="11" t="inlineStr">
        <is>
          <t>I</t>
        </is>
      </c>
      <c r="G5" s="11" t="inlineStr">
        <is>
          <t>I</t>
        </is>
      </c>
    </row>
    <row r="6">
      <c r="A6" s="3" t="inlineStr">
        <is>
          <t>デリバリー（ライトニング）</t>
        </is>
      </c>
      <c r="B6" s="11" t="inlineStr">
        <is>
          <t>A</t>
        </is>
      </c>
      <c r="C6" s="11" t="inlineStr">
        <is>
          <t>R</t>
        </is>
      </c>
      <c r="D6" s="11" t="inlineStr">
        <is>
          <t>R</t>
        </is>
      </c>
      <c r="E6" s="11" t="inlineStr">
        <is>
          <t>I</t>
        </is>
      </c>
      <c r="F6" s="11" t="inlineStr">
        <is>
          <t>I</t>
        </is>
      </c>
      <c r="G6" s="11" t="inlineStr">
        <is>
          <t>C</t>
        </is>
      </c>
    </row>
    <row r="7">
      <c r="A7" s="3" t="inlineStr">
        <is>
          <t>効果測定/事例化</t>
        </is>
      </c>
      <c r="B7" s="11" t="inlineStr">
        <is>
          <t>A/R</t>
        </is>
      </c>
      <c r="C7" s="11" t="inlineStr">
        <is>
          <t>C</t>
        </is>
      </c>
      <c r="D7" s="11" t="inlineStr">
        <is>
          <t>C</t>
        </is>
      </c>
      <c r="E7" s="11" t="inlineStr">
        <is>
          <t>I</t>
        </is>
      </c>
      <c r="F7" s="11" t="inlineStr">
        <is>
          <t>I</t>
        </is>
      </c>
      <c r="G7" s="11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0" customWidth="1" min="4" max="4"/>
    <col width="22" customWidth="1" min="5" max="5"/>
    <col width="22" customWidth="1" min="6" max="6"/>
    <col width="22" customWidth="1" min="7" max="7"/>
    <col width="10" customWidth="1" min="8" max="8"/>
    <col width="10" customWidth="1" min="9" max="9"/>
    <col width="16" customWidth="1" min="10" max="10"/>
  </cols>
  <sheetData>
    <row r="1">
      <c r="A1" s="2" t="inlineStr">
        <is>
          <t>ID</t>
        </is>
      </c>
      <c r="B1" s="2" t="inlineStr">
        <is>
          <t>リスク内容</t>
        </is>
      </c>
      <c r="C1" s="2" t="inlineStr">
        <is>
          <t>発生確率</t>
        </is>
      </c>
      <c r="D1" s="2" t="inlineStr">
        <is>
          <t>影響度</t>
        </is>
      </c>
      <c r="E1" s="2" t="inlineStr">
        <is>
          <t>検知シグナル</t>
        </is>
      </c>
      <c r="F1" s="2" t="inlineStr">
        <is>
          <t>対策（予防）</t>
        </is>
      </c>
      <c r="G1" s="2" t="inlineStr">
        <is>
          <t>対策（発生時）</t>
        </is>
      </c>
      <c r="H1" s="2" t="inlineStr">
        <is>
          <t>オーナー</t>
        </is>
      </c>
      <c r="I1" s="2" t="inlineStr">
        <is>
          <t>状態</t>
        </is>
      </c>
      <c r="J1" s="2" t="inlineStr">
        <is>
          <t>メモ</t>
        </is>
      </c>
    </row>
    <row r="2">
      <c r="A2" s="11" t="inlineStr">
        <is>
          <t>R01</t>
        </is>
      </c>
      <c r="B2" s="3" t="inlineStr">
        <is>
          <t>補助金制度の変更/停止で提案が弱くなる</t>
        </is>
      </c>
      <c r="C2" s="11" t="inlineStr">
        <is>
          <t>中</t>
        </is>
      </c>
      <c r="D2" s="11" t="inlineStr">
        <is>
          <t>大</t>
        </is>
      </c>
      <c r="E2" s="3" t="inlineStr">
        <is>
          <t>制度変更ニュース/要件更新</t>
        </is>
      </c>
      <c r="F2" s="3" t="inlineStr">
        <is>
          <t>補助金なしでも成立する価値提案を用意</t>
        </is>
      </c>
      <c r="G2" s="3" t="inlineStr">
        <is>
          <t>価格・プラン再設計</t>
        </is>
      </c>
      <c r="H2" s="11" t="inlineStr">
        <is>
          <t>Sat</t>
        </is>
      </c>
      <c r="I2" s="11" t="inlineStr">
        <is>
          <t>Open</t>
        </is>
      </c>
      <c r="J2" s="3" t="inlineStr"/>
    </row>
    <row r="3">
      <c r="A3" s="11" t="inlineStr">
        <is>
          <t>R02</t>
        </is>
      </c>
      <c r="B3" s="3" t="inlineStr">
        <is>
          <t>大手参入・コモディティ化で差別化が薄れる</t>
        </is>
      </c>
      <c r="C3" s="11" t="inlineStr">
        <is>
          <t>高</t>
        </is>
      </c>
      <c r="D3" s="11" t="inlineStr">
        <is>
          <t>大</t>
        </is>
      </c>
      <c r="E3" s="3" t="inlineStr">
        <is>
          <t>価格下落/広告増</t>
        </is>
      </c>
      <c r="F3" s="3" t="inlineStr">
        <is>
          <t>短期成果（ライトニング）+成果物テンプレで差別化</t>
        </is>
      </c>
      <c r="G3" s="3" t="inlineStr">
        <is>
          <t>ICP再定義/事例を尖らせる</t>
        </is>
      </c>
      <c r="H3" s="11" t="inlineStr">
        <is>
          <t>Sat</t>
        </is>
      </c>
      <c r="I3" s="11" t="inlineStr">
        <is>
          <t>Open</t>
        </is>
      </c>
      <c r="J3" s="3" t="inlineStr"/>
    </row>
    <row r="4">
      <c r="A4" s="11" t="inlineStr">
        <is>
          <t>R03</t>
        </is>
      </c>
      <c r="B4" s="3" t="inlineStr">
        <is>
          <t>成果（ROI）が曖昧で成約が落ちる</t>
        </is>
      </c>
      <c r="C4" s="11" t="inlineStr">
        <is>
          <t>高</t>
        </is>
      </c>
      <c r="D4" s="11" t="inlineStr">
        <is>
          <t>大</t>
        </is>
      </c>
      <c r="E4" s="3" t="inlineStr">
        <is>
          <t>提案でROI質問増</t>
        </is>
      </c>
      <c r="F4" s="3" t="inlineStr">
        <is>
          <t>効果測定の仕組みを先に作る</t>
        </is>
      </c>
      <c r="G4" s="3" t="inlineStr">
        <is>
          <t>事例追加/保証条件見直し</t>
        </is>
      </c>
      <c r="H4" s="11" t="inlineStr">
        <is>
          <t>Sat</t>
        </is>
      </c>
      <c r="I4" s="11" t="inlineStr">
        <is>
          <t>Open</t>
        </is>
      </c>
      <c r="J4" s="3" t="inlineStr"/>
    </row>
    <row r="5">
      <c r="A5" s="11" t="inlineStr">
        <is>
          <t>R04</t>
        </is>
      </c>
      <c r="B5" s="3" t="inlineStr">
        <is>
          <t>デリバリー工数が膨らみ品質が落ちる</t>
        </is>
      </c>
      <c r="C5" s="11" t="inlineStr">
        <is>
          <t>中</t>
        </is>
      </c>
      <c r="D5" s="11" t="inlineStr">
        <is>
          <t>大</t>
        </is>
      </c>
      <c r="E5" s="3" t="inlineStr">
        <is>
          <t>稼働率&gt;100%が続く</t>
        </is>
      </c>
      <c r="F5" s="3" t="inlineStr">
        <is>
          <t>WBS/SOPで標準化、スコープ固定</t>
        </is>
      </c>
      <c r="G5" s="3" t="inlineStr">
        <is>
          <t>納期調整/増員/外注</t>
        </is>
      </c>
      <c r="H5" s="11" t="inlineStr">
        <is>
          <t>Sat</t>
        </is>
      </c>
      <c r="I5" s="11" t="inlineStr">
        <is>
          <t>Open</t>
        </is>
      </c>
      <c r="J5" s="3" t="inlineStr"/>
    </row>
    <row r="6">
      <c r="A6" s="11" t="inlineStr">
        <is>
          <t>R05</t>
        </is>
      </c>
      <c r="B6" s="3" t="inlineStr">
        <is>
          <t>情報セキュリティ懸念で導入が止まる</t>
        </is>
      </c>
      <c r="C6" s="11" t="inlineStr">
        <is>
          <t>中</t>
        </is>
      </c>
      <c r="D6" s="11" t="inlineStr">
        <is>
          <t>中</t>
        </is>
      </c>
      <c r="E6" s="3" t="inlineStr">
        <is>
          <t>NDA/制限強い</t>
        </is>
      </c>
      <c r="F6" s="3" t="inlineStr">
        <is>
          <t>データ取扱い・非学習設定の説明資料</t>
        </is>
      </c>
      <c r="G6" s="3" t="inlineStr">
        <is>
          <t>制限運用の代替提案</t>
        </is>
      </c>
      <c r="H6" s="11" t="inlineStr">
        <is>
          <t>Sat</t>
        </is>
      </c>
      <c r="I6" s="11" t="inlineStr">
        <is>
          <t>Open</t>
        </is>
      </c>
      <c r="J6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16" customWidth="1" min="5" max="5"/>
    <col width="12" customWidth="1" min="6" max="6"/>
    <col width="14" customWidth="1" min="7" max="7"/>
    <col width="12" customWidth="1" min="8" max="8"/>
  </cols>
  <sheetData>
    <row r="1">
      <c r="A1" s="13" t="inlineStr">
        <is>
          <t>ここは売上のざっくり見通し用（プラン別の受注数入力）。詳細PL/BSは別モデルに接続して使う想定。</t>
        </is>
      </c>
    </row>
    <row r="3">
      <c r="A3" s="2" t="inlineStr">
        <is>
          <t>月</t>
        </is>
      </c>
      <c r="B3" s="2" t="inlineStr">
        <is>
          <t>ライトニング（件）</t>
        </is>
      </c>
      <c r="C3" s="2" t="inlineStr">
        <is>
          <t>伴走（件）</t>
        </is>
      </c>
      <c r="D3" s="2" t="inlineStr">
        <is>
          <t>研修（件）</t>
        </is>
      </c>
      <c r="E3" s="2" t="inlineStr">
        <is>
          <t>月次売上（円）</t>
        </is>
      </c>
      <c r="F3" s="2" t="inlineStr">
        <is>
          <t>目標提案数</t>
        </is>
      </c>
      <c r="G3" s="2" t="inlineStr">
        <is>
          <t>目標初回MTG数</t>
        </is>
      </c>
      <c r="H3" s="2" t="inlineStr">
        <is>
          <t>目標リード数</t>
        </is>
      </c>
    </row>
    <row r="4">
      <c r="A4" s="3" t="inlineStr">
        <is>
          <t>2026-02</t>
        </is>
      </c>
      <c r="B4" s="6" t="n">
        <v>0</v>
      </c>
      <c r="C4" s="6" t="n">
        <v>0</v>
      </c>
      <c r="D4" s="6" t="n">
        <v>0</v>
      </c>
      <c r="E4" s="7">
        <f>B4*XLOOKUP("AIチーム開発 伴走（ライトニング）",'02_プラン定義'!$A$2:$A$50,'02_プラン定義'!$E$2:$E$50)+C4*XLOOKUP("AIチーム開発 伴走（標準）",'02_プラン定義'!$A$2:$A$50,'02_プラン定義'!$E$2:$E$50)+D4*XLOOKUP("生成AI研修（入口）",'02_プラン定義'!$A$2:$A$50,'02_プラン定義'!$E$2:$E$50)</f>
        <v/>
      </c>
      <c r="F4" s="7">
        <f>IF(SUM(B4:D4)=0,0,SUM(B4:D4)/'03_営業ファネルKPI'!$B$5)</f>
        <v/>
      </c>
      <c r="G4" s="7">
        <f>IF(F4=0,0,F4/'03_営業ファネルKPI'!$B$4)</f>
        <v/>
      </c>
      <c r="H4" s="7">
        <f>IF(G4=0,0,G4/'03_営業ファネルKPI'!$B$3)</f>
        <v/>
      </c>
    </row>
    <row r="5">
      <c r="A5" s="3" t="inlineStr">
        <is>
          <t>2026-03</t>
        </is>
      </c>
      <c r="B5" s="6" t="n">
        <v>0</v>
      </c>
      <c r="C5" s="6" t="n">
        <v>0</v>
      </c>
      <c r="D5" s="6" t="n">
        <v>0</v>
      </c>
      <c r="E5" s="7">
        <f>B5*XLOOKUP("AIチーム開発 伴走（ライトニング）",'02_プラン定義'!$A$2:$A$50,'02_プラン定義'!$E$2:$E$50)+C5*XLOOKUP("AIチーム開発 伴走（標準）",'02_プラン定義'!$A$2:$A$50,'02_プラン定義'!$E$2:$E$50)+D5*XLOOKUP("生成AI研修（入口）",'02_プラン定義'!$A$2:$A$50,'02_プラン定義'!$E$2:$E$50)</f>
        <v/>
      </c>
      <c r="F5" s="7">
        <f>IF(SUM(B5:D5)=0,0,SUM(B5:D5)/'03_営業ファネルKPI'!$B$5)</f>
        <v/>
      </c>
      <c r="G5" s="7">
        <f>IF(F5=0,0,F5/'03_営業ファネルKPI'!$B$4)</f>
        <v/>
      </c>
      <c r="H5" s="7">
        <f>IF(G5=0,0,G5/'03_営業ファネルKPI'!$B$3)</f>
        <v/>
      </c>
    </row>
    <row r="6">
      <c r="A6" s="3" t="inlineStr">
        <is>
          <t>2026-04</t>
        </is>
      </c>
      <c r="B6" s="6" t="n">
        <v>0</v>
      </c>
      <c r="C6" s="6" t="n">
        <v>0</v>
      </c>
      <c r="D6" s="6" t="n">
        <v>0</v>
      </c>
      <c r="E6" s="7">
        <f>B6*XLOOKUP("AIチーム開発 伴走（ライトニング）",'02_プラン定義'!$A$2:$A$50,'02_プラン定義'!$E$2:$E$50)+C6*XLOOKUP("AIチーム開発 伴走（標準）",'02_プラン定義'!$A$2:$A$50,'02_プラン定義'!$E$2:$E$50)+D6*XLOOKUP("生成AI研修（入口）",'02_プラン定義'!$A$2:$A$50,'02_プラン定義'!$E$2:$E$50)</f>
        <v/>
      </c>
      <c r="F6" s="7">
        <f>IF(SUM(B6:D6)=0,0,SUM(B6:D6)/'03_営業ファネルKPI'!$B$5)</f>
        <v/>
      </c>
      <c r="G6" s="7">
        <f>IF(F6=0,0,F6/'03_営業ファネルKPI'!$B$4)</f>
        <v/>
      </c>
      <c r="H6" s="7">
        <f>IF(G6=0,0,G6/'03_営業ファネルKPI'!$B$3)</f>
        <v/>
      </c>
    </row>
    <row r="7">
      <c r="A7" s="3" t="inlineStr">
        <is>
          <t>2026-05</t>
        </is>
      </c>
      <c r="B7" s="6" t="n">
        <v>0</v>
      </c>
      <c r="C7" s="6" t="n">
        <v>0</v>
      </c>
      <c r="D7" s="6" t="n">
        <v>0</v>
      </c>
      <c r="E7" s="7">
        <f>B7*XLOOKUP("AIチーム開発 伴走（ライトニング）",'02_プラン定義'!$A$2:$A$50,'02_プラン定義'!$E$2:$E$50)+C7*XLOOKUP("AIチーム開発 伴走（標準）",'02_プラン定義'!$A$2:$A$50,'02_プラン定義'!$E$2:$E$50)+D7*XLOOKUP("生成AI研修（入口）",'02_プラン定義'!$A$2:$A$50,'02_プラン定義'!$E$2:$E$50)</f>
        <v/>
      </c>
      <c r="F7" s="7">
        <f>IF(SUM(B7:D7)=0,0,SUM(B7:D7)/'03_営業ファネルKPI'!$B$5)</f>
        <v/>
      </c>
      <c r="G7" s="7">
        <f>IF(F7=0,0,F7/'03_営業ファネルKPI'!$B$4)</f>
        <v/>
      </c>
      <c r="H7" s="7">
        <f>IF(G7=0,0,G7/'03_営業ファネルKPI'!$B$3)</f>
        <v/>
      </c>
    </row>
    <row r="8">
      <c r="A8" s="3" t="inlineStr">
        <is>
          <t>2026-06</t>
        </is>
      </c>
      <c r="B8" s="6" t="n">
        <v>0</v>
      </c>
      <c r="C8" s="6" t="n">
        <v>0</v>
      </c>
      <c r="D8" s="6" t="n">
        <v>0</v>
      </c>
      <c r="E8" s="7">
        <f>B8*XLOOKUP("AIチーム開発 伴走（ライトニング）",'02_プラン定義'!$A$2:$A$50,'02_プラン定義'!$E$2:$E$50)+C8*XLOOKUP("AIチーム開発 伴走（標準）",'02_プラン定義'!$A$2:$A$50,'02_プラン定義'!$E$2:$E$50)+D8*XLOOKUP("生成AI研修（入口）",'02_プラン定義'!$A$2:$A$50,'02_プラン定義'!$E$2:$E$50)</f>
        <v/>
      </c>
      <c r="F8" s="7">
        <f>IF(SUM(B8:D8)=0,0,SUM(B8:D8)/'03_営業ファネルKPI'!$B$5)</f>
        <v/>
      </c>
      <c r="G8" s="7">
        <f>IF(F8=0,0,F8/'03_営業ファネルKPI'!$B$4)</f>
        <v/>
      </c>
      <c r="H8" s="7">
        <f>IF(G8=0,0,G8/'03_営業ファネルKPI'!$B$3)</f>
        <v/>
      </c>
    </row>
    <row r="9">
      <c r="A9" s="3" t="inlineStr">
        <is>
          <t>2026-07</t>
        </is>
      </c>
      <c r="B9" s="6" t="n">
        <v>0</v>
      </c>
      <c r="C9" s="6" t="n">
        <v>0</v>
      </c>
      <c r="D9" s="6" t="n">
        <v>0</v>
      </c>
      <c r="E9" s="7">
        <f>B9*XLOOKUP("AIチーム開発 伴走（ライトニング）",'02_プラン定義'!$A$2:$A$50,'02_プラン定義'!$E$2:$E$50)+C9*XLOOKUP("AIチーム開発 伴走（標準）",'02_プラン定義'!$A$2:$A$50,'02_プラン定義'!$E$2:$E$50)+D9*XLOOKUP("生成AI研修（入口）",'02_プラン定義'!$A$2:$A$50,'02_プラン定義'!$E$2:$E$50)</f>
        <v/>
      </c>
      <c r="F9" s="7">
        <f>IF(SUM(B9:D9)=0,0,SUM(B9:D9)/'03_営業ファネルKPI'!$B$5)</f>
        <v/>
      </c>
      <c r="G9" s="7">
        <f>IF(F9=0,0,F9/'03_営業ファネルKPI'!$B$4)</f>
        <v/>
      </c>
      <c r="H9" s="7">
        <f>IF(G9=0,0,G9/'03_営業ファネルKPI'!$B$3)</f>
        <v/>
      </c>
    </row>
    <row r="10">
      <c r="A10" s="3" t="inlineStr">
        <is>
          <t>2026-08</t>
        </is>
      </c>
      <c r="B10" s="6" t="n">
        <v>0</v>
      </c>
      <c r="C10" s="6" t="n">
        <v>0</v>
      </c>
      <c r="D10" s="6" t="n">
        <v>0</v>
      </c>
      <c r="E10" s="7">
        <f>B10*XLOOKUP("AIチーム開発 伴走（ライトニング）",'02_プラン定義'!$A$2:$A$50,'02_プラン定義'!$E$2:$E$50)+C10*XLOOKUP("AIチーム開発 伴走（標準）",'02_プラン定義'!$A$2:$A$50,'02_プラン定義'!$E$2:$E$50)+D10*XLOOKUP("生成AI研修（入口）",'02_プラン定義'!$A$2:$A$50,'02_プラン定義'!$E$2:$E$50)</f>
        <v/>
      </c>
      <c r="F10" s="7">
        <f>IF(SUM(B10:D10)=0,0,SUM(B10:D10)/'03_営業ファネルKPI'!$B$5)</f>
        <v/>
      </c>
      <c r="G10" s="7">
        <f>IF(F10=0,0,F10/'03_営業ファネルKPI'!$B$4)</f>
        <v/>
      </c>
      <c r="H10" s="7">
        <f>IF(G10=0,0,G10/'03_営業ファネルKPI'!$B$3)</f>
        <v/>
      </c>
    </row>
    <row r="11">
      <c r="A11" s="3" t="inlineStr">
        <is>
          <t>2026-09</t>
        </is>
      </c>
      <c r="B11" s="6" t="n">
        <v>0</v>
      </c>
      <c r="C11" s="6" t="n">
        <v>0</v>
      </c>
      <c r="D11" s="6" t="n">
        <v>0</v>
      </c>
      <c r="E11" s="7">
        <f>B11*XLOOKUP("AIチーム開発 伴走（ライトニング）",'02_プラン定義'!$A$2:$A$50,'02_プラン定義'!$E$2:$E$50)+C11*XLOOKUP("AIチーム開発 伴走（標準）",'02_プラン定義'!$A$2:$A$50,'02_プラン定義'!$E$2:$E$50)+D11*XLOOKUP("生成AI研修（入口）",'02_プラン定義'!$A$2:$A$50,'02_プラン定義'!$E$2:$E$50)</f>
        <v/>
      </c>
      <c r="F11" s="7">
        <f>IF(SUM(B11:D11)=0,0,SUM(B11:D11)/'03_営業ファネルKPI'!$B$5)</f>
        <v/>
      </c>
      <c r="G11" s="7">
        <f>IF(F11=0,0,F11/'03_営業ファネルKPI'!$B$4)</f>
        <v/>
      </c>
      <c r="H11" s="7">
        <f>IF(G11=0,0,G11/'03_営業ファネルKPI'!$B$3)</f>
        <v/>
      </c>
    </row>
    <row r="12">
      <c r="A12" s="3" t="inlineStr">
        <is>
          <t>2026-10</t>
        </is>
      </c>
      <c r="B12" s="6" t="n">
        <v>0</v>
      </c>
      <c r="C12" s="6" t="n">
        <v>0</v>
      </c>
      <c r="D12" s="6" t="n">
        <v>0</v>
      </c>
      <c r="E12" s="7">
        <f>B12*XLOOKUP("AIチーム開発 伴走（ライトニング）",'02_プラン定義'!$A$2:$A$50,'02_プラン定義'!$E$2:$E$50)+C12*XLOOKUP("AIチーム開発 伴走（標準）",'02_プラン定義'!$A$2:$A$50,'02_プラン定義'!$E$2:$E$50)+D12*XLOOKUP("生成AI研修（入口）",'02_プラン定義'!$A$2:$A$50,'02_プラン定義'!$E$2:$E$50)</f>
        <v/>
      </c>
      <c r="F12" s="7">
        <f>IF(SUM(B12:D12)=0,0,SUM(B12:D12)/'03_営業ファネルKPI'!$B$5)</f>
        <v/>
      </c>
      <c r="G12" s="7">
        <f>IF(F12=0,0,F12/'03_営業ファネルKPI'!$B$4)</f>
        <v/>
      </c>
      <c r="H12" s="7">
        <f>IF(G12=0,0,G12/'03_営業ファネルKPI'!$B$3)</f>
        <v/>
      </c>
    </row>
    <row r="13">
      <c r="A13" s="3" t="inlineStr">
        <is>
          <t>2026-11</t>
        </is>
      </c>
      <c r="B13" s="6" t="n">
        <v>0</v>
      </c>
      <c r="C13" s="6" t="n">
        <v>0</v>
      </c>
      <c r="D13" s="6" t="n">
        <v>0</v>
      </c>
      <c r="E13" s="7">
        <f>B13*XLOOKUP("AIチーム開発 伴走（ライトニング）",'02_プラン定義'!$A$2:$A$50,'02_プラン定義'!$E$2:$E$50)+C13*XLOOKUP("AIチーム開発 伴走（標準）",'02_プラン定義'!$A$2:$A$50,'02_プラン定義'!$E$2:$E$50)+D13*XLOOKUP("生成AI研修（入口）",'02_プラン定義'!$A$2:$A$50,'02_プラン定義'!$E$2:$E$50)</f>
        <v/>
      </c>
      <c r="F13" s="7">
        <f>IF(SUM(B13:D13)=0,0,SUM(B13:D13)/'03_営業ファネルKPI'!$B$5)</f>
        <v/>
      </c>
      <c r="G13" s="7">
        <f>IF(F13=0,0,F13/'03_営業ファネルKPI'!$B$4)</f>
        <v/>
      </c>
      <c r="H13" s="7">
        <f>IF(G13=0,0,G13/'03_営業ファネルKPI'!$B$3)</f>
        <v/>
      </c>
    </row>
    <row r="14">
      <c r="A14" s="3" t="inlineStr">
        <is>
          <t>2026-12</t>
        </is>
      </c>
      <c r="B14" s="6" t="n">
        <v>0</v>
      </c>
      <c r="C14" s="6" t="n">
        <v>0</v>
      </c>
      <c r="D14" s="6" t="n">
        <v>0</v>
      </c>
      <c r="E14" s="7">
        <f>B14*XLOOKUP("AIチーム開発 伴走（ライトニング）",'02_プラン定義'!$A$2:$A$50,'02_プラン定義'!$E$2:$E$50)+C14*XLOOKUP("AIチーム開発 伴走（標準）",'02_プラン定義'!$A$2:$A$50,'02_プラン定義'!$E$2:$E$50)+D14*XLOOKUP("生成AI研修（入口）",'02_プラン定義'!$A$2:$A$50,'02_プラン定義'!$E$2:$E$50)</f>
        <v/>
      </c>
      <c r="F14" s="7">
        <f>IF(SUM(B14:D14)=0,0,SUM(B14:D14)/'03_営業ファネルKPI'!$B$5)</f>
        <v/>
      </c>
      <c r="G14" s="7">
        <f>IF(F14=0,0,F14/'03_営業ファネルKPI'!$B$4)</f>
        <v/>
      </c>
      <c r="H14" s="7">
        <f>IF(G14=0,0,G14/'03_営業ファネルKPI'!$B$3)</f>
        <v/>
      </c>
    </row>
    <row r="15">
      <c r="A15" s="3" t="inlineStr">
        <is>
          <t>2027-01</t>
        </is>
      </c>
      <c r="B15" s="6" t="n">
        <v>0</v>
      </c>
      <c r="C15" s="6" t="n">
        <v>0</v>
      </c>
      <c r="D15" s="6" t="n">
        <v>0</v>
      </c>
      <c r="E15" s="7">
        <f>B15*XLOOKUP("AIチーム開発 伴走（ライトニング）",'02_プラン定義'!$A$2:$A$50,'02_プラン定義'!$E$2:$E$50)+C15*XLOOKUP("AIチーム開発 伴走（標準）",'02_プラン定義'!$A$2:$A$50,'02_プラン定義'!$E$2:$E$50)+D15*XLOOKUP("生成AI研修（入口）",'02_プラン定義'!$A$2:$A$50,'02_プラン定義'!$E$2:$E$50)</f>
        <v/>
      </c>
      <c r="F15" s="7">
        <f>IF(SUM(B15:D15)=0,0,SUM(B15:D15)/'03_営業ファネルKPI'!$B$5)</f>
        <v/>
      </c>
      <c r="G15" s="7">
        <f>IF(F15=0,0,F15/'03_営業ファネルKPI'!$B$4)</f>
        <v/>
      </c>
      <c r="H15" s="7">
        <f>IF(G15=0,0,G15/'03_営業ファネルKPI'!$B$3)</f>
        <v/>
      </c>
    </row>
    <row r="16">
      <c r="A16" s="3" t="inlineStr">
        <is>
          <t>2027-02</t>
        </is>
      </c>
      <c r="B16" s="6" t="n">
        <v>0</v>
      </c>
      <c r="C16" s="6" t="n">
        <v>0</v>
      </c>
      <c r="D16" s="6" t="n">
        <v>0</v>
      </c>
      <c r="E16" s="7">
        <f>B16*XLOOKUP("AIチーム開発 伴走（ライトニング）",'02_プラン定義'!$A$2:$A$50,'02_プラン定義'!$E$2:$E$50)+C16*XLOOKUP("AIチーム開発 伴走（標準）",'02_プラン定義'!$A$2:$A$50,'02_プラン定義'!$E$2:$E$50)+D16*XLOOKUP("生成AI研修（入口）",'02_プラン定義'!$A$2:$A$50,'02_プラン定義'!$E$2:$E$50)</f>
        <v/>
      </c>
      <c r="F16" s="7">
        <f>IF(SUM(B16:D16)=0,0,SUM(B16:D16)/'03_営業ファネルKPI'!$B$5)</f>
        <v/>
      </c>
      <c r="G16" s="7">
        <f>IF(F16=0,0,F16/'03_営業ファネルKPI'!$B$4)</f>
        <v/>
      </c>
      <c r="H16" s="7">
        <f>IF(G16=0,0,G16/'03_営業ファネルKPI'!$B$3)</f>
        <v/>
      </c>
    </row>
    <row r="17">
      <c r="A17" s="3" t="inlineStr">
        <is>
          <t>2027-03</t>
        </is>
      </c>
      <c r="B17" s="6" t="n">
        <v>0</v>
      </c>
      <c r="C17" s="6" t="n">
        <v>0</v>
      </c>
      <c r="D17" s="6" t="n">
        <v>0</v>
      </c>
      <c r="E17" s="7">
        <f>B17*XLOOKUP("AIチーム開発 伴走（ライトニング）",'02_プラン定義'!$A$2:$A$50,'02_プラン定義'!$E$2:$E$50)+C17*XLOOKUP("AIチーム開発 伴走（標準）",'02_プラン定義'!$A$2:$A$50,'02_プラン定義'!$E$2:$E$50)+D17*XLOOKUP("生成AI研修（入口）",'02_プラン定義'!$A$2:$A$50,'02_プラン定義'!$E$2:$E$50)</f>
        <v/>
      </c>
      <c r="F17" s="7">
        <f>IF(SUM(B17:D17)=0,0,SUM(B17:D17)/'03_営業ファネルKPI'!$B$5)</f>
        <v/>
      </c>
      <c r="G17" s="7">
        <f>IF(F17=0,0,F17/'03_営業ファネルKPI'!$B$4)</f>
        <v/>
      </c>
      <c r="H17" s="7">
        <f>IF(G17=0,0,G17/'03_営業ファネルKPI'!$B$3)</f>
        <v/>
      </c>
    </row>
    <row r="18">
      <c r="A18" s="3" t="inlineStr">
        <is>
          <t>2027-04</t>
        </is>
      </c>
      <c r="B18" s="6" t="n">
        <v>0</v>
      </c>
      <c r="C18" s="6" t="n">
        <v>0</v>
      </c>
      <c r="D18" s="6" t="n">
        <v>0</v>
      </c>
      <c r="E18" s="7">
        <f>B18*XLOOKUP("AIチーム開発 伴走（ライトニング）",'02_プラン定義'!$A$2:$A$50,'02_プラン定義'!$E$2:$E$50)+C18*XLOOKUP("AIチーム開発 伴走（標準）",'02_プラン定義'!$A$2:$A$50,'02_プラン定義'!$E$2:$E$50)+D18*XLOOKUP("生成AI研修（入口）",'02_プラン定義'!$A$2:$A$50,'02_プラン定義'!$E$2:$E$50)</f>
        <v/>
      </c>
      <c r="F18" s="7">
        <f>IF(SUM(B18:D18)=0,0,SUM(B18:D18)/'03_営業ファネルKPI'!$B$5)</f>
        <v/>
      </c>
      <c r="G18" s="7">
        <f>IF(F18=0,0,F18/'03_営業ファネルKPI'!$B$4)</f>
        <v/>
      </c>
      <c r="H18" s="7">
        <f>IF(G18=0,0,G18/'03_営業ファネルKPI'!$B$3)</f>
        <v/>
      </c>
    </row>
    <row r="19">
      <c r="A19" s="3" t="inlineStr">
        <is>
          <t>2027-05</t>
        </is>
      </c>
      <c r="B19" s="6" t="n">
        <v>0</v>
      </c>
      <c r="C19" s="6" t="n">
        <v>0</v>
      </c>
      <c r="D19" s="6" t="n">
        <v>0</v>
      </c>
      <c r="E19" s="7">
        <f>B19*XLOOKUP("AIチーム開発 伴走（ライトニング）",'02_プラン定義'!$A$2:$A$50,'02_プラン定義'!$E$2:$E$50)+C19*XLOOKUP("AIチーム開発 伴走（標準）",'02_プラン定義'!$A$2:$A$50,'02_プラン定義'!$E$2:$E$50)+D19*XLOOKUP("生成AI研修（入口）",'02_プラン定義'!$A$2:$A$50,'02_プラン定義'!$E$2:$E$50)</f>
        <v/>
      </c>
      <c r="F19" s="7">
        <f>IF(SUM(B19:D19)=0,0,SUM(B19:D19)/'03_営業ファネルKPI'!$B$5)</f>
        <v/>
      </c>
      <c r="G19" s="7">
        <f>IF(F19=0,0,F19/'03_営業ファネルKPI'!$B$4)</f>
        <v/>
      </c>
      <c r="H19" s="7">
        <f>IF(G19=0,0,G19/'03_営業ファネルKPI'!$B$3)</f>
        <v/>
      </c>
    </row>
    <row r="20">
      <c r="A20" s="3" t="inlineStr">
        <is>
          <t>2027-06</t>
        </is>
      </c>
      <c r="B20" s="6" t="n">
        <v>0</v>
      </c>
      <c r="C20" s="6" t="n">
        <v>0</v>
      </c>
      <c r="D20" s="6" t="n">
        <v>0</v>
      </c>
      <c r="E20" s="7">
        <f>B20*XLOOKUP("AIチーム開発 伴走（ライトニング）",'02_プラン定義'!$A$2:$A$50,'02_プラン定義'!$E$2:$E$50)+C20*XLOOKUP("AIチーム開発 伴走（標準）",'02_プラン定義'!$A$2:$A$50,'02_プラン定義'!$E$2:$E$50)+D20*XLOOKUP("生成AI研修（入口）",'02_プラン定義'!$A$2:$A$50,'02_プラン定義'!$E$2:$E$50)</f>
        <v/>
      </c>
      <c r="F20" s="7">
        <f>IF(SUM(B20:D20)=0,0,SUM(B20:D20)/'03_営業ファネルKPI'!$B$5)</f>
        <v/>
      </c>
      <c r="G20" s="7">
        <f>IF(F20=0,0,F20/'03_営業ファネルKPI'!$B$4)</f>
        <v/>
      </c>
      <c r="H20" s="7">
        <f>IF(G20=0,0,G20/'03_営業ファネルKPI'!$B$3)</f>
        <v/>
      </c>
    </row>
    <row r="21">
      <c r="A21" s="3" t="inlineStr">
        <is>
          <t>2027-07</t>
        </is>
      </c>
      <c r="B21" s="6" t="n">
        <v>0</v>
      </c>
      <c r="C21" s="6" t="n">
        <v>0</v>
      </c>
      <c r="D21" s="6" t="n">
        <v>0</v>
      </c>
      <c r="E21" s="7">
        <f>B21*XLOOKUP("AIチーム開発 伴走（ライトニング）",'02_プラン定義'!$A$2:$A$50,'02_プラン定義'!$E$2:$E$50)+C21*XLOOKUP("AIチーム開発 伴走（標準）",'02_プラン定義'!$A$2:$A$50,'02_プラン定義'!$E$2:$E$50)+D21*XLOOKUP("生成AI研修（入口）",'02_プラン定義'!$A$2:$A$50,'02_プラン定義'!$E$2:$E$50)</f>
        <v/>
      </c>
      <c r="F21" s="7">
        <f>IF(SUM(B21:D21)=0,0,SUM(B21:D21)/'03_営業ファネルKPI'!$B$5)</f>
        <v/>
      </c>
      <c r="G21" s="7">
        <f>IF(F21=0,0,F21/'03_営業ファネルKPI'!$B$4)</f>
        <v/>
      </c>
      <c r="H21" s="7">
        <f>IF(G21=0,0,G21/'03_営業ファネルKPI'!$B$3)</f>
        <v/>
      </c>
    </row>
    <row r="22">
      <c r="A22" s="3" t="inlineStr">
        <is>
          <t>2027-08</t>
        </is>
      </c>
      <c r="B22" s="6" t="n">
        <v>0</v>
      </c>
      <c r="C22" s="6" t="n">
        <v>0</v>
      </c>
      <c r="D22" s="6" t="n">
        <v>0</v>
      </c>
      <c r="E22" s="7">
        <f>B22*XLOOKUP("AIチーム開発 伴走（ライトニング）",'02_プラン定義'!$A$2:$A$50,'02_プラン定義'!$E$2:$E$50)+C22*XLOOKUP("AIチーム開発 伴走（標準）",'02_プラン定義'!$A$2:$A$50,'02_プラン定義'!$E$2:$E$50)+D22*XLOOKUP("生成AI研修（入口）",'02_プラン定義'!$A$2:$A$50,'02_プラン定義'!$E$2:$E$50)</f>
        <v/>
      </c>
      <c r="F22" s="7">
        <f>IF(SUM(B22:D22)=0,0,SUM(B22:D22)/'03_営業ファネルKPI'!$B$5)</f>
        <v/>
      </c>
      <c r="G22" s="7">
        <f>IF(F22=0,0,F22/'03_営業ファネルKPI'!$B$4)</f>
        <v/>
      </c>
      <c r="H22" s="7">
        <f>IF(G22=0,0,G22/'03_営業ファネルKPI'!$B$3)</f>
        <v/>
      </c>
    </row>
    <row r="23">
      <c r="A23" s="3" t="inlineStr">
        <is>
          <t>2027-09</t>
        </is>
      </c>
      <c r="B23" s="6" t="n">
        <v>0</v>
      </c>
      <c r="C23" s="6" t="n">
        <v>0</v>
      </c>
      <c r="D23" s="6" t="n">
        <v>0</v>
      </c>
      <c r="E23" s="7">
        <f>B23*XLOOKUP("AIチーム開発 伴走（ライトニング）",'02_プラン定義'!$A$2:$A$50,'02_プラン定義'!$E$2:$E$50)+C23*XLOOKUP("AIチーム開発 伴走（標準）",'02_プラン定義'!$A$2:$A$50,'02_プラン定義'!$E$2:$E$50)+D23*XLOOKUP("生成AI研修（入口）",'02_プラン定義'!$A$2:$A$50,'02_プラン定義'!$E$2:$E$50)</f>
        <v/>
      </c>
      <c r="F23" s="7">
        <f>IF(SUM(B23:D23)=0,0,SUM(B23:D23)/'03_営業ファネルKPI'!$B$5)</f>
        <v/>
      </c>
      <c r="G23" s="7">
        <f>IF(F23=0,0,F23/'03_営業ファネルKPI'!$B$4)</f>
        <v/>
      </c>
      <c r="H23" s="7">
        <f>IF(G23=0,0,G23/'03_営業ファネルKPI'!$B$3)</f>
        <v/>
      </c>
    </row>
    <row r="24">
      <c r="A24" s="3" t="inlineStr">
        <is>
          <t>2027-10</t>
        </is>
      </c>
      <c r="B24" s="6" t="n">
        <v>0</v>
      </c>
      <c r="C24" s="6" t="n">
        <v>0</v>
      </c>
      <c r="D24" s="6" t="n">
        <v>0</v>
      </c>
      <c r="E24" s="7">
        <f>B24*XLOOKUP("AIチーム開発 伴走（ライトニング）",'02_プラン定義'!$A$2:$A$50,'02_プラン定義'!$E$2:$E$50)+C24*XLOOKUP("AIチーム開発 伴走（標準）",'02_プラン定義'!$A$2:$A$50,'02_プラン定義'!$E$2:$E$50)+D24*XLOOKUP("生成AI研修（入口）",'02_プラン定義'!$A$2:$A$50,'02_プラン定義'!$E$2:$E$50)</f>
        <v/>
      </c>
      <c r="F24" s="7">
        <f>IF(SUM(B24:D24)=0,0,SUM(B24:D24)/'03_営業ファネルKPI'!$B$5)</f>
        <v/>
      </c>
      <c r="G24" s="7">
        <f>IF(F24=0,0,F24/'03_営業ファネルKPI'!$B$4)</f>
        <v/>
      </c>
      <c r="H24" s="7">
        <f>IF(G24=0,0,G24/'03_営業ファネルKPI'!$B$3)</f>
        <v/>
      </c>
    </row>
    <row r="25">
      <c r="A25" s="3" t="inlineStr">
        <is>
          <t>2027-11</t>
        </is>
      </c>
      <c r="B25" s="6" t="n">
        <v>0</v>
      </c>
      <c r="C25" s="6" t="n">
        <v>0</v>
      </c>
      <c r="D25" s="6" t="n">
        <v>0</v>
      </c>
      <c r="E25" s="7">
        <f>B25*XLOOKUP("AIチーム開発 伴走（ライトニング）",'02_プラン定義'!$A$2:$A$50,'02_プラン定義'!$E$2:$E$50)+C25*XLOOKUP("AIチーム開発 伴走（標準）",'02_プラン定義'!$A$2:$A$50,'02_プラン定義'!$E$2:$E$50)+D25*XLOOKUP("生成AI研修（入口）",'02_プラン定義'!$A$2:$A$50,'02_プラン定義'!$E$2:$E$50)</f>
        <v/>
      </c>
      <c r="F25" s="7">
        <f>IF(SUM(B25:D25)=0,0,SUM(B25:D25)/'03_営業ファネルKPI'!$B$5)</f>
        <v/>
      </c>
      <c r="G25" s="7">
        <f>IF(F25=0,0,F25/'03_営業ファネルKPI'!$B$4)</f>
        <v/>
      </c>
      <c r="H25" s="7">
        <f>IF(G25=0,0,G25/'03_営業ファネルKPI'!$B$3)</f>
        <v/>
      </c>
    </row>
    <row r="26">
      <c r="A26" s="3" t="inlineStr">
        <is>
          <t>2027-12</t>
        </is>
      </c>
      <c r="B26" s="6" t="n">
        <v>0</v>
      </c>
      <c r="C26" s="6" t="n">
        <v>0</v>
      </c>
      <c r="D26" s="6" t="n">
        <v>0</v>
      </c>
      <c r="E26" s="7">
        <f>B26*XLOOKUP("AIチーム開発 伴走（ライトニング）",'02_プラン定義'!$A$2:$A$50,'02_プラン定義'!$E$2:$E$50)+C26*XLOOKUP("AIチーム開発 伴走（標準）",'02_プラン定義'!$A$2:$A$50,'02_プラン定義'!$E$2:$E$50)+D26*XLOOKUP("生成AI研修（入口）",'02_プラン定義'!$A$2:$A$50,'02_プラン定義'!$E$2:$E$50)</f>
        <v/>
      </c>
      <c r="F26" s="7">
        <f>IF(SUM(B26:D26)=0,0,SUM(B26:D26)/'03_営業ファネルKPI'!$B$5)</f>
        <v/>
      </c>
      <c r="G26" s="7">
        <f>IF(F26=0,0,F26/'03_営業ファネルKPI'!$B$4)</f>
        <v/>
      </c>
      <c r="H26" s="7">
        <f>IF(G26=0,0,G26/'03_営業ファネルKPI'!$B$3)</f>
        <v/>
      </c>
    </row>
    <row r="27">
      <c r="A27" s="3" t="inlineStr">
        <is>
          <t>2028-01</t>
        </is>
      </c>
      <c r="B27" s="6" t="n">
        <v>0</v>
      </c>
      <c r="C27" s="6" t="n">
        <v>0</v>
      </c>
      <c r="D27" s="6" t="n">
        <v>0</v>
      </c>
      <c r="E27" s="7">
        <f>B27*XLOOKUP("AIチーム開発 伴走（ライトニング）",'02_プラン定義'!$A$2:$A$50,'02_プラン定義'!$E$2:$E$50)+C27*XLOOKUP("AIチーム開発 伴走（標準）",'02_プラン定義'!$A$2:$A$50,'02_プラン定義'!$E$2:$E$50)+D27*XLOOKUP("生成AI研修（入口）",'02_プラン定義'!$A$2:$A$50,'02_プラン定義'!$E$2:$E$50)</f>
        <v/>
      </c>
      <c r="F27" s="7">
        <f>IF(SUM(B27:D27)=0,0,SUM(B27:D27)/'03_営業ファネルKPI'!$B$5)</f>
        <v/>
      </c>
      <c r="G27" s="7">
        <f>IF(F27=0,0,F27/'03_営業ファネルKPI'!$B$4)</f>
        <v/>
      </c>
      <c r="H27" s="7">
        <f>IF(G27=0,0,G27/'03_営業ファネルKPI'!$B$3)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2026-01-24T03:24:41Z</dcterms:created>
  <dcterms:modified xmlns:dcterms="http://purl.org/dc/terms/" xmlns:xsi="http://www.w3.org/2001/XMLSchema-instance" xsi:type="dcterms:W3CDTF">2026-01-24T03:24:41Z</dcterms:modified>
</cp:coreProperties>
</file>